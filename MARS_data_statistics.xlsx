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66925"/>
  <mc:AlternateContent xmlns:mc="http://schemas.openxmlformats.org/markup-compatibility/2006">
    <mc:Choice Requires="x15">
      <x15ac:absPath xmlns:x15ac="http://schemas.microsoft.com/office/spreadsheetml/2010/11/ac" url="https://d.docs.live.net/e1ea391f4042f82c/Documenten/Tandheelkunde/Master 3/Scriptie/"/>
    </mc:Choice>
  </mc:AlternateContent>
  <xr:revisionPtr revIDLastSave="2618" documentId="11_924858E5C0DEB8026F15A6DB943E8C1851038383" xr6:coauthVersionLast="47" xr6:coauthVersionMax="47" xr10:uidLastSave="{768D4170-CB9A-4317-98F0-80F0DEDC6FDD}"/>
  <bookViews>
    <workbookView xWindow="-28920" yWindow="7935" windowWidth="29040" windowHeight="16440" activeTab="5" xr2:uid="{00000000-000D-0000-FFFF-FFFF00000000}"/>
  </bookViews>
  <sheets>
    <sheet name="Data" sheetId="1" r:id="rId1"/>
    <sheet name="not included apps reason" sheetId="9" r:id="rId2"/>
    <sheet name="graph_question_average" sheetId="7" r:id="rId3"/>
    <sheet name="table_for_in_text" sheetId="6" r:id="rId4"/>
    <sheet name="MARS questions" sheetId="2" r:id="rId5"/>
    <sheet name="correlation_score_and_rating" sheetId="5" r:id="rId6"/>
  </sheets>
  <definedNames>
    <definedName name="_xlnm._FilterDatabase" localSheetId="0" hidden="1">Data!$I$1:$I$85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7" l="1"/>
  <c r="E10" i="7"/>
  <c r="F10" i="7"/>
  <c r="G10" i="7"/>
  <c r="H10" i="7"/>
  <c r="I10" i="7"/>
  <c r="J10" i="7"/>
  <c r="K10" i="7"/>
  <c r="L10" i="7"/>
  <c r="M10" i="7"/>
  <c r="N10" i="7"/>
  <c r="O10" i="7"/>
  <c r="P10" i="7"/>
  <c r="Q10" i="7"/>
  <c r="R10" i="7"/>
  <c r="S10" i="7"/>
  <c r="T10" i="7"/>
  <c r="U10" i="7"/>
  <c r="V10" i="7"/>
  <c r="W10" i="7"/>
  <c r="X10" i="7"/>
  <c r="Y10" i="7"/>
  <c r="Z10" i="7"/>
  <c r="AA10" i="7"/>
  <c r="C10" i="7"/>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2" i="6"/>
  <c r="R50" i="6"/>
  <c r="P50" i="6"/>
  <c r="Q50"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2" i="6"/>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2" i="6"/>
  <c r="AW73" i="1"/>
  <c r="AJ79" i="1"/>
  <c r="AK79" i="1"/>
  <c r="AL79" i="1"/>
  <c r="AM79" i="1"/>
  <c r="AE79" i="1"/>
  <c r="AF79" i="1"/>
  <c r="AG79" i="1"/>
  <c r="W79" i="1"/>
  <c r="X79" i="1"/>
  <c r="Y79" i="1"/>
  <c r="Z79" i="1"/>
  <c r="AA79" i="1"/>
  <c r="AB79" i="1"/>
  <c r="R79" i="1"/>
  <c r="S79" i="1"/>
  <c r="T79" i="1"/>
  <c r="L79" i="1"/>
  <c r="M79" i="1"/>
  <c r="N79" i="1"/>
  <c r="O79" i="1"/>
  <c r="E79" i="1"/>
  <c r="F79" i="1"/>
  <c r="G79" i="1"/>
  <c r="H79" i="1"/>
  <c r="I79" i="1"/>
  <c r="I78" i="1"/>
  <c r="I77" i="1"/>
  <c r="H28" i="5"/>
  <c r="G28" i="5"/>
  <c r="H16" i="5"/>
  <c r="G16" i="5"/>
  <c r="F28" i="5"/>
  <c r="F16" i="5"/>
  <c r="E28" i="5"/>
  <c r="D24" i="5"/>
  <c r="D20" i="5"/>
  <c r="D21" i="5"/>
  <c r="D22" i="5"/>
  <c r="D23" i="5"/>
  <c r="D25" i="5"/>
  <c r="D26" i="5"/>
  <c r="D27" i="5"/>
  <c r="D19" i="5"/>
  <c r="C27" i="5"/>
  <c r="C20" i="5"/>
  <c r="C21" i="5"/>
  <c r="C22" i="5"/>
  <c r="C23" i="5"/>
  <c r="C24" i="5"/>
  <c r="C25" i="5"/>
  <c r="C26" i="5"/>
  <c r="C19" i="5"/>
  <c r="D15" i="5"/>
  <c r="D3" i="5"/>
  <c r="D4" i="5"/>
  <c r="D5" i="5"/>
  <c r="D6" i="5"/>
  <c r="D7" i="5"/>
  <c r="D8" i="5"/>
  <c r="D9" i="5"/>
  <c r="D10" i="5"/>
  <c r="D11" i="5"/>
  <c r="D12" i="5"/>
  <c r="D13" i="5"/>
  <c r="D14" i="5"/>
  <c r="D2" i="5"/>
  <c r="C3" i="5"/>
  <c r="C4" i="5"/>
  <c r="C5" i="5"/>
  <c r="C6" i="5"/>
  <c r="C7" i="5"/>
  <c r="C8" i="5"/>
  <c r="C9" i="5"/>
  <c r="C10" i="5"/>
  <c r="C11" i="5"/>
  <c r="C12" i="5"/>
  <c r="C13" i="5"/>
  <c r="C14" i="5"/>
  <c r="C15" i="5"/>
  <c r="C2" i="5"/>
  <c r="AU4" i="1"/>
  <c r="AU3" i="1"/>
  <c r="AY76" i="1"/>
  <c r="AY74" i="1"/>
  <c r="AY73" i="1"/>
  <c r="AY72" i="1"/>
  <c r="AY70" i="1"/>
  <c r="AY68" i="1"/>
  <c r="AY67" i="1"/>
  <c r="AY66" i="1"/>
  <c r="AY63" i="1"/>
  <c r="AY62" i="1"/>
  <c r="AY60" i="1"/>
  <c r="AY58" i="1"/>
  <c r="AY57" i="1"/>
  <c r="AY56" i="1"/>
  <c r="AY55" i="1"/>
  <c r="AY53" i="1"/>
  <c r="AY49" i="1"/>
  <c r="AY47" i="1"/>
  <c r="AY45" i="1"/>
  <c r="AY44" i="1"/>
  <c r="AY43" i="1"/>
  <c r="AY41" i="1"/>
  <c r="AY39" i="1"/>
  <c r="AY38" i="1"/>
  <c r="AY37" i="1"/>
  <c r="AY36" i="1"/>
  <c r="AY35" i="1"/>
  <c r="AY34" i="1"/>
  <c r="AY33" i="1"/>
  <c r="AY32" i="1"/>
  <c r="AY29" i="1"/>
  <c r="AY28" i="1"/>
  <c r="AY25" i="1"/>
  <c r="AY23" i="1"/>
  <c r="AY21" i="1"/>
  <c r="AY20" i="1"/>
  <c r="AY19" i="1"/>
  <c r="AY18" i="1"/>
  <c r="AY16" i="1"/>
  <c r="AY15" i="1"/>
  <c r="AY13" i="1"/>
  <c r="AY9" i="1"/>
  <c r="AY8" i="1"/>
  <c r="AY7" i="1"/>
  <c r="AY6" i="1"/>
  <c r="AY5" i="1"/>
  <c r="AY4" i="1"/>
  <c r="AY3" i="1"/>
  <c r="AW35" i="1"/>
  <c r="AD57" i="1"/>
  <c r="J35" i="1"/>
  <c r="P35" i="1"/>
  <c r="U35" i="1"/>
  <c r="AH35" i="1"/>
  <c r="AC35" i="1"/>
  <c r="AI35" i="1"/>
  <c r="AN35" i="1"/>
  <c r="AN72" i="1"/>
  <c r="AN63" i="1"/>
  <c r="AN62" i="1"/>
  <c r="AN28" i="1"/>
  <c r="AN19" i="1"/>
  <c r="AN23" i="1"/>
  <c r="AN57" i="1"/>
  <c r="AN38" i="1"/>
  <c r="AN21" i="1"/>
  <c r="AN55" i="1"/>
  <c r="AN68" i="1"/>
  <c r="AN60" i="1"/>
  <c r="AN70" i="1"/>
  <c r="AN47" i="1"/>
  <c r="AN34" i="1"/>
  <c r="AN43" i="1"/>
  <c r="AN20" i="1"/>
  <c r="AN37" i="1"/>
  <c r="AN5" i="1"/>
  <c r="AN36" i="1"/>
  <c r="AN15" i="1"/>
  <c r="AN73" i="1"/>
  <c r="AN53" i="1"/>
  <c r="AN58" i="1"/>
  <c r="AN56" i="1"/>
  <c r="AN16" i="1"/>
  <c r="AN66" i="1"/>
  <c r="AN41" i="1"/>
  <c r="AN29" i="1"/>
  <c r="AN44" i="1"/>
  <c r="AN3" i="1"/>
  <c r="AN18" i="1"/>
  <c r="AN25" i="1"/>
  <c r="AN39" i="1"/>
  <c r="AN4" i="1"/>
  <c r="AN32" i="1"/>
  <c r="AN7" i="1"/>
  <c r="AN13" i="1"/>
  <c r="AN8" i="1"/>
  <c r="AN45" i="1"/>
  <c r="AN33" i="1"/>
  <c r="AN67" i="1"/>
  <c r="AN49" i="1"/>
  <c r="AN76" i="1"/>
  <c r="AN6" i="1"/>
  <c r="AN9" i="1"/>
  <c r="AN74" i="1"/>
  <c r="AO35" i="1"/>
  <c r="AH72" i="1"/>
  <c r="AH63" i="1"/>
  <c r="AH62" i="1"/>
  <c r="AH28" i="1"/>
  <c r="AH19" i="1"/>
  <c r="AH23" i="1"/>
  <c r="AH57" i="1"/>
  <c r="AH38" i="1"/>
  <c r="AH21" i="1"/>
  <c r="AH55" i="1"/>
  <c r="AH68" i="1"/>
  <c r="AH60" i="1"/>
  <c r="AH70" i="1"/>
  <c r="AH47" i="1"/>
  <c r="AH34" i="1"/>
  <c r="AH43" i="1"/>
  <c r="AH20" i="1"/>
  <c r="AH37" i="1"/>
  <c r="AH5" i="1"/>
  <c r="AH36" i="1"/>
  <c r="AH15" i="1"/>
  <c r="AH73" i="1"/>
  <c r="AH53" i="1"/>
  <c r="AH58" i="1"/>
  <c r="AH56" i="1"/>
  <c r="AH16" i="1"/>
  <c r="AH66" i="1"/>
  <c r="AH41" i="1"/>
  <c r="AH29" i="1"/>
  <c r="AH44" i="1"/>
  <c r="AH3" i="1"/>
  <c r="AH18" i="1"/>
  <c r="AH25" i="1"/>
  <c r="AH39" i="1"/>
  <c r="AH4" i="1"/>
  <c r="AH32" i="1"/>
  <c r="AH7" i="1"/>
  <c r="AH13" i="1"/>
  <c r="AH8" i="1"/>
  <c r="AH45" i="1"/>
  <c r="AH33" i="1"/>
  <c r="AH67" i="1"/>
  <c r="AH49" i="1"/>
  <c r="AH76" i="1"/>
  <c r="AH6" i="1"/>
  <c r="AH9" i="1"/>
  <c r="AH74" i="1"/>
  <c r="AC72" i="1"/>
  <c r="AC63" i="1"/>
  <c r="AC62" i="1"/>
  <c r="AC28" i="1"/>
  <c r="AC19" i="1"/>
  <c r="AC23" i="1"/>
  <c r="AC57" i="1"/>
  <c r="AC38" i="1"/>
  <c r="AC21" i="1"/>
  <c r="AC55" i="1"/>
  <c r="AC68" i="1"/>
  <c r="AC60" i="1"/>
  <c r="AC70" i="1"/>
  <c r="AC47" i="1"/>
  <c r="AC34" i="1"/>
  <c r="AC43" i="1"/>
  <c r="AC20" i="1"/>
  <c r="AC37" i="1"/>
  <c r="AC5" i="1"/>
  <c r="AC36" i="1"/>
  <c r="AC15" i="1"/>
  <c r="AC73" i="1"/>
  <c r="AC53" i="1"/>
  <c r="AC58" i="1"/>
  <c r="AC56" i="1"/>
  <c r="AC16" i="1"/>
  <c r="AC66" i="1"/>
  <c r="AC41" i="1"/>
  <c r="AC29" i="1"/>
  <c r="AC44" i="1"/>
  <c r="AC3" i="1"/>
  <c r="AC18" i="1"/>
  <c r="AC25" i="1"/>
  <c r="AC39" i="1"/>
  <c r="AC4" i="1"/>
  <c r="AC32" i="1"/>
  <c r="AC7" i="1"/>
  <c r="AC13" i="1"/>
  <c r="AC8" i="1"/>
  <c r="AC45" i="1"/>
  <c r="AC33" i="1"/>
  <c r="AC67" i="1"/>
  <c r="AC49" i="1"/>
  <c r="AC76" i="1"/>
  <c r="AC6" i="1"/>
  <c r="AC9" i="1"/>
  <c r="AC74" i="1"/>
  <c r="U72" i="1"/>
  <c r="U63" i="1"/>
  <c r="U62" i="1"/>
  <c r="U28" i="1"/>
  <c r="U19" i="1"/>
  <c r="U23" i="1"/>
  <c r="U57" i="1"/>
  <c r="U38" i="1"/>
  <c r="U21" i="1"/>
  <c r="U55" i="1"/>
  <c r="U68" i="1"/>
  <c r="U60" i="1"/>
  <c r="U70" i="1"/>
  <c r="U47" i="1"/>
  <c r="U34" i="1"/>
  <c r="U43" i="1"/>
  <c r="U20" i="1"/>
  <c r="U37" i="1"/>
  <c r="U5" i="1"/>
  <c r="U36" i="1"/>
  <c r="U15" i="1"/>
  <c r="U73" i="1"/>
  <c r="U53" i="1"/>
  <c r="U58" i="1"/>
  <c r="U56" i="1"/>
  <c r="U16" i="1"/>
  <c r="U66" i="1"/>
  <c r="U41" i="1"/>
  <c r="U29" i="1"/>
  <c r="U44" i="1"/>
  <c r="U3" i="1"/>
  <c r="U18" i="1"/>
  <c r="U25" i="1"/>
  <c r="U39" i="1"/>
  <c r="U4" i="1"/>
  <c r="U32" i="1"/>
  <c r="U7" i="1"/>
  <c r="U13" i="1"/>
  <c r="U8" i="1"/>
  <c r="U45" i="1"/>
  <c r="U33" i="1"/>
  <c r="U67" i="1"/>
  <c r="U49" i="1"/>
  <c r="U76" i="1"/>
  <c r="U6" i="1"/>
  <c r="U9" i="1"/>
  <c r="U74" i="1"/>
  <c r="P72" i="1"/>
  <c r="P63" i="1"/>
  <c r="P62" i="1"/>
  <c r="P28" i="1"/>
  <c r="P19" i="1"/>
  <c r="P23" i="1"/>
  <c r="P57" i="1"/>
  <c r="P38" i="1"/>
  <c r="P21" i="1"/>
  <c r="P55" i="1"/>
  <c r="P68" i="1"/>
  <c r="P60" i="1"/>
  <c r="P70" i="1"/>
  <c r="P47" i="1"/>
  <c r="P34" i="1"/>
  <c r="P43" i="1"/>
  <c r="P20" i="1"/>
  <c r="P37" i="1"/>
  <c r="P5" i="1"/>
  <c r="P36" i="1"/>
  <c r="P15" i="1"/>
  <c r="P73" i="1"/>
  <c r="P53" i="1"/>
  <c r="P58" i="1"/>
  <c r="P56" i="1"/>
  <c r="P16" i="1"/>
  <c r="P66" i="1"/>
  <c r="P41" i="1"/>
  <c r="P29" i="1"/>
  <c r="P44" i="1"/>
  <c r="P3" i="1"/>
  <c r="P18" i="1"/>
  <c r="P25" i="1"/>
  <c r="P39" i="1"/>
  <c r="P4" i="1"/>
  <c r="P32" i="1"/>
  <c r="P7" i="1"/>
  <c r="P13" i="1"/>
  <c r="P8" i="1"/>
  <c r="P45" i="1"/>
  <c r="P33" i="1"/>
  <c r="P67" i="1"/>
  <c r="P49" i="1"/>
  <c r="P76" i="1"/>
  <c r="P6" i="1"/>
  <c r="P9" i="1"/>
  <c r="P74" i="1"/>
  <c r="AK78" i="1"/>
  <c r="AL78" i="1"/>
  <c r="AM78" i="1"/>
  <c r="AJ78" i="1"/>
  <c r="AF78" i="1"/>
  <c r="AG78" i="1"/>
  <c r="AE78" i="1"/>
  <c r="X78" i="1"/>
  <c r="Y78" i="1"/>
  <c r="Z78" i="1"/>
  <c r="AA78" i="1"/>
  <c r="AB78" i="1"/>
  <c r="W78" i="1"/>
  <c r="R78" i="1"/>
  <c r="S78" i="1"/>
  <c r="T78" i="1"/>
  <c r="M78" i="1"/>
  <c r="N78" i="1"/>
  <c r="O78" i="1"/>
  <c r="L78" i="1"/>
  <c r="E78" i="1"/>
  <c r="F78" i="1"/>
  <c r="G78" i="1"/>
  <c r="H78" i="1"/>
  <c r="AW72" i="1"/>
  <c r="AW63" i="1"/>
  <c r="AW62" i="1"/>
  <c r="AW28" i="1"/>
  <c r="AW19" i="1"/>
  <c r="AW23" i="1"/>
  <c r="AW57" i="1"/>
  <c r="AW38" i="1"/>
  <c r="AW21" i="1"/>
  <c r="AW55" i="1"/>
  <c r="AW68" i="1"/>
  <c r="AW60" i="1"/>
  <c r="AW70" i="1"/>
  <c r="AW47" i="1"/>
  <c r="AW34" i="1"/>
  <c r="AW43" i="1"/>
  <c r="AW20" i="1"/>
  <c r="AW37" i="1"/>
  <c r="AW5" i="1"/>
  <c r="AW36" i="1"/>
  <c r="AW15" i="1"/>
  <c r="AW53" i="1"/>
  <c r="AW58" i="1"/>
  <c r="AW56" i="1"/>
  <c r="AW16" i="1"/>
  <c r="AW66" i="1"/>
  <c r="AW41" i="1"/>
  <c r="AW29" i="1"/>
  <c r="AW44" i="1"/>
  <c r="AW3" i="1"/>
  <c r="AW18" i="1"/>
  <c r="AW25" i="1"/>
  <c r="AW39" i="1"/>
  <c r="AW4" i="1"/>
  <c r="AW32" i="1"/>
  <c r="AW7" i="1"/>
  <c r="AW13" i="1"/>
  <c r="AW8" i="1"/>
  <c r="AW45" i="1"/>
  <c r="AW33" i="1"/>
  <c r="AW67" i="1"/>
  <c r="AW49" i="1"/>
  <c r="AW76" i="1"/>
  <c r="AW6" i="1"/>
  <c r="AW9" i="1"/>
  <c r="AW74" i="1"/>
  <c r="AU72" i="1"/>
  <c r="AU63" i="1"/>
  <c r="AU62" i="1"/>
  <c r="AU28" i="1"/>
  <c r="AU19" i="1"/>
  <c r="AU23" i="1"/>
  <c r="AU57" i="1"/>
  <c r="AU38" i="1"/>
  <c r="AU21" i="1"/>
  <c r="AU55" i="1"/>
  <c r="AU68" i="1"/>
  <c r="AU60" i="1"/>
  <c r="AU70" i="1"/>
  <c r="AU47" i="1"/>
  <c r="AU34" i="1"/>
  <c r="AU43" i="1"/>
  <c r="AU20" i="1"/>
  <c r="AU37" i="1"/>
  <c r="AU5" i="1"/>
  <c r="AU36" i="1"/>
  <c r="AU15" i="1"/>
  <c r="AU73" i="1"/>
  <c r="AU53" i="1"/>
  <c r="AU58" i="1"/>
  <c r="AU56" i="1"/>
  <c r="AU16" i="1"/>
  <c r="AU66" i="1"/>
  <c r="AU41" i="1"/>
  <c r="AU29" i="1"/>
  <c r="AU44" i="1"/>
  <c r="AU18" i="1"/>
  <c r="AU25" i="1"/>
  <c r="AU39" i="1"/>
  <c r="AU32" i="1"/>
  <c r="AU7" i="1"/>
  <c r="AU13" i="1"/>
  <c r="AU8" i="1"/>
  <c r="AU45" i="1"/>
  <c r="AU33" i="1"/>
  <c r="AU67" i="1"/>
  <c r="AU49" i="1"/>
  <c r="AU76" i="1"/>
  <c r="AU6" i="1"/>
  <c r="AU9" i="1"/>
  <c r="AU74" i="1"/>
  <c r="AU35" i="1"/>
  <c r="AS72" i="1"/>
  <c r="AS63" i="1"/>
  <c r="AS62" i="1"/>
  <c r="AS28" i="1"/>
  <c r="AS19" i="1"/>
  <c r="AS23" i="1"/>
  <c r="AS57" i="1"/>
  <c r="AS38" i="1"/>
  <c r="AS21" i="1"/>
  <c r="AS55" i="1"/>
  <c r="AS68" i="1"/>
  <c r="AS60" i="1"/>
  <c r="AS70" i="1"/>
  <c r="AS47" i="1"/>
  <c r="AS34" i="1"/>
  <c r="AS43" i="1"/>
  <c r="AS20" i="1"/>
  <c r="AS37" i="1"/>
  <c r="AS5" i="1"/>
  <c r="AS36" i="1"/>
  <c r="AS15" i="1"/>
  <c r="AS73" i="1"/>
  <c r="AS53" i="1"/>
  <c r="AS58" i="1"/>
  <c r="AS56" i="1"/>
  <c r="AS16" i="1"/>
  <c r="AS66" i="1"/>
  <c r="AS41" i="1"/>
  <c r="AS29" i="1"/>
  <c r="AS44" i="1"/>
  <c r="AS3" i="1"/>
  <c r="AS18" i="1"/>
  <c r="AS25" i="1"/>
  <c r="AS39" i="1"/>
  <c r="AS4" i="1"/>
  <c r="AS32" i="1"/>
  <c r="AS7" i="1"/>
  <c r="AS13" i="1"/>
  <c r="AS8" i="1"/>
  <c r="AS45" i="1"/>
  <c r="AS33" i="1"/>
  <c r="AS67" i="1"/>
  <c r="AS49" i="1"/>
  <c r="AS76" i="1"/>
  <c r="AS6" i="1"/>
  <c r="AS9" i="1"/>
  <c r="AS74" i="1"/>
  <c r="AS35" i="1"/>
  <c r="J72" i="1"/>
  <c r="J63" i="1"/>
  <c r="J62" i="1"/>
  <c r="J28" i="1"/>
  <c r="J19" i="1"/>
  <c r="J23" i="1"/>
  <c r="J57" i="1"/>
  <c r="J38" i="1"/>
  <c r="J21" i="1"/>
  <c r="J55" i="1"/>
  <c r="J68" i="1"/>
  <c r="J60" i="1"/>
  <c r="J70" i="1"/>
  <c r="J47" i="1"/>
  <c r="J34" i="1"/>
  <c r="J43" i="1"/>
  <c r="J20" i="1"/>
  <c r="J37" i="1"/>
  <c r="J5" i="1"/>
  <c r="J36" i="1"/>
  <c r="J15" i="1"/>
  <c r="J73" i="1"/>
  <c r="J53" i="1"/>
  <c r="J58" i="1"/>
  <c r="J56" i="1"/>
  <c r="J16" i="1"/>
  <c r="J66" i="1"/>
  <c r="J41" i="1"/>
  <c r="J29" i="1"/>
  <c r="J44" i="1"/>
  <c r="J3" i="1"/>
  <c r="J18" i="1"/>
  <c r="J25" i="1"/>
  <c r="J39" i="1"/>
  <c r="J4" i="1"/>
  <c r="J32" i="1"/>
  <c r="J7" i="1"/>
  <c r="J13" i="1"/>
  <c r="J8" i="1"/>
  <c r="J45" i="1"/>
  <c r="J33" i="1"/>
  <c r="J67" i="1"/>
  <c r="J49" i="1"/>
  <c r="J76" i="1"/>
  <c r="J6" i="1"/>
  <c r="J9" i="1"/>
  <c r="J74" i="1"/>
  <c r="K35" i="1"/>
  <c r="AV72" i="1"/>
  <c r="AT72" i="1"/>
  <c r="AV63" i="1"/>
  <c r="AT63" i="1"/>
  <c r="AV62" i="1"/>
  <c r="AT62" i="1"/>
  <c r="AV28" i="1"/>
  <c r="AT28" i="1"/>
  <c r="AV19" i="1"/>
  <c r="AT19" i="1"/>
  <c r="AV23" i="1"/>
  <c r="AT23" i="1"/>
  <c r="AV57" i="1"/>
  <c r="AT57" i="1"/>
  <c r="AV38" i="1"/>
  <c r="AT38" i="1"/>
  <c r="AV21" i="1"/>
  <c r="AT21" i="1"/>
  <c r="AV55" i="1"/>
  <c r="AT55" i="1"/>
  <c r="AV68" i="1"/>
  <c r="AT68" i="1"/>
  <c r="AV60" i="1"/>
  <c r="AT60" i="1"/>
  <c r="AV70" i="1"/>
  <c r="AT70" i="1"/>
  <c r="AV47" i="1"/>
  <c r="AT47" i="1"/>
  <c r="AV34" i="1"/>
  <c r="AT34" i="1"/>
  <c r="AV43" i="1"/>
  <c r="AT43" i="1"/>
  <c r="AV20" i="1"/>
  <c r="AT20" i="1"/>
  <c r="AV37" i="1"/>
  <c r="AT37" i="1"/>
  <c r="AV5" i="1"/>
  <c r="AT5" i="1"/>
  <c r="AV36" i="1"/>
  <c r="AT36" i="1"/>
  <c r="AV15" i="1"/>
  <c r="AT15" i="1"/>
  <c r="AV73" i="1"/>
  <c r="AT73" i="1"/>
  <c r="AV53" i="1"/>
  <c r="AT53" i="1"/>
  <c r="AV58" i="1"/>
  <c r="AT58" i="1"/>
  <c r="AV56" i="1"/>
  <c r="AT56" i="1"/>
  <c r="AV16" i="1"/>
  <c r="AT16" i="1"/>
  <c r="AV66" i="1"/>
  <c r="AT66" i="1"/>
  <c r="AV41" i="1"/>
  <c r="AT41" i="1"/>
  <c r="AV29" i="1"/>
  <c r="AT29" i="1"/>
  <c r="AV44" i="1"/>
  <c r="AT44" i="1"/>
  <c r="AV3" i="1"/>
  <c r="AV77" i="1" s="1"/>
  <c r="AT3" i="1"/>
  <c r="AV18" i="1"/>
  <c r="AT18" i="1"/>
  <c r="AV25" i="1"/>
  <c r="AT25" i="1"/>
  <c r="AV39" i="1"/>
  <c r="AT39" i="1"/>
  <c r="AV4" i="1"/>
  <c r="AT4" i="1"/>
  <c r="AV32" i="1"/>
  <c r="AT32" i="1"/>
  <c r="AV7" i="1"/>
  <c r="AT7" i="1"/>
  <c r="AV13" i="1"/>
  <c r="AT13" i="1"/>
  <c r="AV8" i="1"/>
  <c r="AT8" i="1"/>
  <c r="AV45" i="1"/>
  <c r="AT45" i="1"/>
  <c r="AV33" i="1"/>
  <c r="AT33" i="1"/>
  <c r="AV67" i="1"/>
  <c r="AT67" i="1"/>
  <c r="AV49" i="1"/>
  <c r="AT49" i="1"/>
  <c r="AV76" i="1"/>
  <c r="AT76" i="1"/>
  <c r="AV6" i="1"/>
  <c r="AT6" i="1"/>
  <c r="AV9" i="1"/>
  <c r="AT9" i="1"/>
  <c r="AV74" i="1"/>
  <c r="AT74" i="1"/>
  <c r="AV35" i="1"/>
  <c r="AT35" i="1"/>
  <c r="AR5" i="1"/>
  <c r="AR36" i="1"/>
  <c r="AR15" i="1"/>
  <c r="AR73" i="1"/>
  <c r="AR53" i="1"/>
  <c r="AR58" i="1"/>
  <c r="AR56" i="1"/>
  <c r="AR16" i="1"/>
  <c r="AR66" i="1"/>
  <c r="AR41" i="1"/>
  <c r="AR29" i="1"/>
  <c r="AR44" i="1"/>
  <c r="AR3" i="1"/>
  <c r="AX3" i="1" s="1"/>
  <c r="AR18" i="1"/>
  <c r="AR25" i="1"/>
  <c r="AR39" i="1"/>
  <c r="AR4" i="1"/>
  <c r="AR32" i="1"/>
  <c r="AR7" i="1"/>
  <c r="AR13" i="1"/>
  <c r="AR8" i="1"/>
  <c r="AR45" i="1"/>
  <c r="AR33" i="1"/>
  <c r="AR67" i="1"/>
  <c r="AR49" i="1"/>
  <c r="AR76" i="1"/>
  <c r="AR6" i="1"/>
  <c r="AR9" i="1"/>
  <c r="AR74" i="1"/>
  <c r="AR35" i="1"/>
  <c r="AO72" i="1"/>
  <c r="AO63" i="1"/>
  <c r="AO62" i="1"/>
  <c r="AO28" i="1"/>
  <c r="AO19" i="1"/>
  <c r="AO23" i="1"/>
  <c r="AO57" i="1"/>
  <c r="AO38" i="1"/>
  <c r="AO21" i="1"/>
  <c r="AO55" i="1"/>
  <c r="AO68" i="1"/>
  <c r="AO60" i="1"/>
  <c r="AO70" i="1"/>
  <c r="AO47" i="1"/>
  <c r="AO34" i="1"/>
  <c r="AO43" i="1"/>
  <c r="AO20" i="1"/>
  <c r="AO37" i="1"/>
  <c r="AO5" i="1"/>
  <c r="AO36" i="1"/>
  <c r="AO15" i="1"/>
  <c r="AO73" i="1"/>
  <c r="AO53" i="1"/>
  <c r="AO58" i="1"/>
  <c r="AO56" i="1"/>
  <c r="AO16" i="1"/>
  <c r="AO66" i="1"/>
  <c r="AO41" i="1"/>
  <c r="AO29" i="1"/>
  <c r="AO44" i="1"/>
  <c r="AO3" i="1"/>
  <c r="AO18" i="1"/>
  <c r="AO25" i="1"/>
  <c r="AO39" i="1"/>
  <c r="AO4" i="1"/>
  <c r="AO32" i="1"/>
  <c r="AO7" i="1"/>
  <c r="AO13" i="1"/>
  <c r="AO8" i="1"/>
  <c r="AO45" i="1"/>
  <c r="AO33" i="1"/>
  <c r="AO67" i="1"/>
  <c r="AO49" i="1"/>
  <c r="AO76" i="1"/>
  <c r="AO6" i="1"/>
  <c r="AO9" i="1"/>
  <c r="AO74" i="1"/>
  <c r="AI72" i="1"/>
  <c r="AI63" i="1"/>
  <c r="AI62" i="1"/>
  <c r="AI28" i="1"/>
  <c r="AI19" i="1"/>
  <c r="AI23" i="1"/>
  <c r="AI57" i="1"/>
  <c r="AI38" i="1"/>
  <c r="AI21" i="1"/>
  <c r="AI55" i="1"/>
  <c r="AI68" i="1"/>
  <c r="AI60" i="1"/>
  <c r="AI70" i="1"/>
  <c r="AI47" i="1"/>
  <c r="AI34" i="1"/>
  <c r="AI43" i="1"/>
  <c r="AI20" i="1"/>
  <c r="AI37" i="1"/>
  <c r="AI5" i="1"/>
  <c r="AI36" i="1"/>
  <c r="AI15" i="1"/>
  <c r="AI73" i="1"/>
  <c r="AI53" i="1"/>
  <c r="AI58" i="1"/>
  <c r="AI56" i="1"/>
  <c r="AI16" i="1"/>
  <c r="AI66" i="1"/>
  <c r="AI41" i="1"/>
  <c r="AI29" i="1"/>
  <c r="AI44" i="1"/>
  <c r="AI3" i="1"/>
  <c r="AI18" i="1"/>
  <c r="AI25" i="1"/>
  <c r="AI39" i="1"/>
  <c r="AI4" i="1"/>
  <c r="AI32" i="1"/>
  <c r="AI7" i="1"/>
  <c r="AI13" i="1"/>
  <c r="AI8" i="1"/>
  <c r="AI45" i="1"/>
  <c r="AI33" i="1"/>
  <c r="AI67" i="1"/>
  <c r="AI49" i="1"/>
  <c r="AI76" i="1"/>
  <c r="AI6" i="1"/>
  <c r="AI9" i="1"/>
  <c r="AI74" i="1"/>
  <c r="AD72" i="1"/>
  <c r="AD63" i="1"/>
  <c r="AD62" i="1"/>
  <c r="AD28" i="1"/>
  <c r="AD19" i="1"/>
  <c r="AD23" i="1"/>
  <c r="AD38" i="1"/>
  <c r="AD21" i="1"/>
  <c r="AD55" i="1"/>
  <c r="AD68" i="1"/>
  <c r="AD60" i="1"/>
  <c r="AD70" i="1"/>
  <c r="AD47" i="1"/>
  <c r="AD34" i="1"/>
  <c r="AD43" i="1"/>
  <c r="AD20" i="1"/>
  <c r="AD37" i="1"/>
  <c r="AD5" i="1"/>
  <c r="AD36" i="1"/>
  <c r="AD15" i="1"/>
  <c r="AD73" i="1"/>
  <c r="AD53" i="1"/>
  <c r="AD58" i="1"/>
  <c r="AD56" i="1"/>
  <c r="AD16" i="1"/>
  <c r="AD66" i="1"/>
  <c r="AD41" i="1"/>
  <c r="AD29" i="1"/>
  <c r="AD44" i="1"/>
  <c r="AD3" i="1"/>
  <c r="AD18" i="1"/>
  <c r="AD25" i="1"/>
  <c r="AD39" i="1"/>
  <c r="AD4" i="1"/>
  <c r="AD32" i="1"/>
  <c r="AD7" i="1"/>
  <c r="AD13" i="1"/>
  <c r="AD8" i="1"/>
  <c r="AD45" i="1"/>
  <c r="AD33" i="1"/>
  <c r="AD67" i="1"/>
  <c r="AD49" i="1"/>
  <c r="AD76" i="1"/>
  <c r="AD6" i="1"/>
  <c r="AD9" i="1"/>
  <c r="AD74" i="1"/>
  <c r="V72" i="1"/>
  <c r="V63" i="1"/>
  <c r="V62" i="1"/>
  <c r="V28" i="1"/>
  <c r="V19" i="1"/>
  <c r="V23" i="1"/>
  <c r="V57" i="1"/>
  <c r="V38" i="1"/>
  <c r="V21" i="1"/>
  <c r="V55" i="1"/>
  <c r="V68" i="1"/>
  <c r="V60" i="1"/>
  <c r="V70" i="1"/>
  <c r="V47" i="1"/>
  <c r="V34" i="1"/>
  <c r="V43" i="1"/>
  <c r="V20" i="1"/>
  <c r="V37" i="1"/>
  <c r="V5" i="1"/>
  <c r="V36" i="1"/>
  <c r="V15" i="1"/>
  <c r="V73" i="1"/>
  <c r="V53" i="1"/>
  <c r="V58" i="1"/>
  <c r="V56" i="1"/>
  <c r="V16" i="1"/>
  <c r="V66" i="1"/>
  <c r="V41" i="1"/>
  <c r="V29" i="1"/>
  <c r="V44" i="1"/>
  <c r="V3" i="1"/>
  <c r="V18" i="1"/>
  <c r="V25" i="1"/>
  <c r="V39" i="1"/>
  <c r="V4" i="1"/>
  <c r="V32" i="1"/>
  <c r="V7" i="1"/>
  <c r="V13" i="1"/>
  <c r="V8" i="1"/>
  <c r="V45" i="1"/>
  <c r="V33" i="1"/>
  <c r="V67" i="1"/>
  <c r="V49" i="1"/>
  <c r="V76" i="1"/>
  <c r="V6" i="1"/>
  <c r="V9" i="1"/>
  <c r="V74" i="1"/>
  <c r="Q72" i="1"/>
  <c r="Q63" i="1"/>
  <c r="Q62" i="1"/>
  <c r="Q28" i="1"/>
  <c r="Q19" i="1"/>
  <c r="Q23" i="1"/>
  <c r="Q57" i="1"/>
  <c r="Q38" i="1"/>
  <c r="Q21" i="1"/>
  <c r="Q55" i="1"/>
  <c r="Q68" i="1"/>
  <c r="Q60" i="1"/>
  <c r="Q70" i="1"/>
  <c r="Q47" i="1"/>
  <c r="Q34" i="1"/>
  <c r="Q43" i="1"/>
  <c r="Q20" i="1"/>
  <c r="Q37" i="1"/>
  <c r="Q5" i="1"/>
  <c r="Q36" i="1"/>
  <c r="Q15" i="1"/>
  <c r="Q73" i="1"/>
  <c r="Q53" i="1"/>
  <c r="Q58" i="1"/>
  <c r="Q56" i="1"/>
  <c r="Q16" i="1"/>
  <c r="Q66" i="1"/>
  <c r="Q41" i="1"/>
  <c r="Q29" i="1"/>
  <c r="Q44" i="1"/>
  <c r="Q3" i="1"/>
  <c r="Q18" i="1"/>
  <c r="Q25" i="1"/>
  <c r="Q39" i="1"/>
  <c r="Q4" i="1"/>
  <c r="Q32" i="1"/>
  <c r="Q7" i="1"/>
  <c r="Q13" i="1"/>
  <c r="Q8" i="1"/>
  <c r="Q45" i="1"/>
  <c r="Q33" i="1"/>
  <c r="Q67" i="1"/>
  <c r="Q49" i="1"/>
  <c r="Q76" i="1"/>
  <c r="Q6" i="1"/>
  <c r="Q9" i="1"/>
  <c r="Q74" i="1"/>
  <c r="K72" i="1"/>
  <c r="K63" i="1"/>
  <c r="K62" i="1"/>
  <c r="K28" i="1"/>
  <c r="K19" i="1"/>
  <c r="K23" i="1"/>
  <c r="K57" i="1"/>
  <c r="K38" i="1"/>
  <c r="K21" i="1"/>
  <c r="K55" i="1"/>
  <c r="K68" i="1"/>
  <c r="K60" i="1"/>
  <c r="K70" i="1"/>
  <c r="K47" i="1"/>
  <c r="K34" i="1"/>
  <c r="K43" i="1"/>
  <c r="K20" i="1"/>
  <c r="K37" i="1"/>
  <c r="K5" i="1"/>
  <c r="K36" i="1"/>
  <c r="K15" i="1"/>
  <c r="K73" i="1"/>
  <c r="K53" i="1"/>
  <c r="K58" i="1"/>
  <c r="K56" i="1"/>
  <c r="K16" i="1"/>
  <c r="K66" i="1"/>
  <c r="K41" i="1"/>
  <c r="K29" i="1"/>
  <c r="K44" i="1"/>
  <c r="K3" i="1"/>
  <c r="K18" i="1"/>
  <c r="K25" i="1"/>
  <c r="K39" i="1"/>
  <c r="K4" i="1"/>
  <c r="K32" i="1"/>
  <c r="K7" i="1"/>
  <c r="K13" i="1"/>
  <c r="K8" i="1"/>
  <c r="K45" i="1"/>
  <c r="K33" i="1"/>
  <c r="K67" i="1"/>
  <c r="K49" i="1"/>
  <c r="K76" i="1"/>
  <c r="K6" i="1"/>
  <c r="K9" i="1"/>
  <c r="K74" i="1"/>
  <c r="AR72" i="1"/>
  <c r="AR63" i="1"/>
  <c r="AR62" i="1"/>
  <c r="AR28" i="1"/>
  <c r="AR19" i="1"/>
  <c r="AR23" i="1"/>
  <c r="AR57" i="1"/>
  <c r="AR38" i="1"/>
  <c r="AR21" i="1"/>
  <c r="AR55" i="1"/>
  <c r="AR68" i="1"/>
  <c r="AR60" i="1"/>
  <c r="AR70" i="1"/>
  <c r="AR47" i="1"/>
  <c r="AR34" i="1"/>
  <c r="AR43" i="1"/>
  <c r="AR20" i="1"/>
  <c r="AR37" i="1"/>
  <c r="Q35" i="1"/>
  <c r="V35" i="1"/>
  <c r="AD35" i="1"/>
  <c r="F77" i="1"/>
  <c r="G77" i="1"/>
  <c r="H77" i="1"/>
  <c r="L77" i="1"/>
  <c r="M77" i="1"/>
  <c r="N77" i="1"/>
  <c r="O77" i="1"/>
  <c r="R77" i="1"/>
  <c r="S77" i="1"/>
  <c r="T77" i="1"/>
  <c r="W77" i="1"/>
  <c r="X77" i="1"/>
  <c r="Y77" i="1"/>
  <c r="Z77" i="1"/>
  <c r="AA77" i="1"/>
  <c r="AB77" i="1"/>
  <c r="AE77" i="1"/>
  <c r="AF77" i="1"/>
  <c r="AG77" i="1"/>
  <c r="AJ77" i="1"/>
  <c r="AK77" i="1"/>
  <c r="AL77" i="1"/>
  <c r="AM77" i="1"/>
  <c r="E77" i="1"/>
  <c r="K79" i="1" l="1"/>
  <c r="BB35" i="1"/>
  <c r="J79" i="1"/>
  <c r="AH79" i="1"/>
  <c r="AN79" i="1"/>
  <c r="AC79" i="1"/>
  <c r="U79" i="1"/>
  <c r="P79" i="1"/>
  <c r="AD77" i="1"/>
  <c r="BA35" i="1"/>
  <c r="AH78" i="1"/>
  <c r="AI80" i="1" s="1"/>
  <c r="AN78" i="1"/>
  <c r="AO80" i="1" s="1"/>
  <c r="AC78" i="1"/>
  <c r="AD80" i="1" s="1"/>
  <c r="U78" i="1"/>
  <c r="V80" i="1" s="1"/>
  <c r="E16" i="5"/>
  <c r="AZ37" i="1"/>
  <c r="AX37" i="1"/>
  <c r="AZ20" i="1"/>
  <c r="AX20" i="1"/>
  <c r="AZ43" i="1"/>
  <c r="AX43" i="1"/>
  <c r="AZ34" i="1"/>
  <c r="AX34" i="1"/>
  <c r="AZ47" i="1"/>
  <c r="AX47" i="1"/>
  <c r="AZ70" i="1"/>
  <c r="AX70" i="1"/>
  <c r="AZ60" i="1"/>
  <c r="AX60" i="1"/>
  <c r="AZ68" i="1"/>
  <c r="AX68" i="1"/>
  <c r="AZ55" i="1"/>
  <c r="AX55" i="1"/>
  <c r="AZ21" i="1"/>
  <c r="AX21" i="1"/>
  <c r="AZ38" i="1"/>
  <c r="AX38" i="1"/>
  <c r="AZ57" i="1"/>
  <c r="AX57" i="1"/>
  <c r="AZ23" i="1"/>
  <c r="AX23" i="1"/>
  <c r="AZ19" i="1"/>
  <c r="AX19" i="1"/>
  <c r="AZ28" i="1"/>
  <c r="AX28" i="1"/>
  <c r="AZ62" i="1"/>
  <c r="AX62" i="1"/>
  <c r="AZ63" i="1"/>
  <c r="AX63" i="1"/>
  <c r="AZ72" i="1"/>
  <c r="AX72" i="1"/>
  <c r="Q79" i="1"/>
  <c r="V79" i="1"/>
  <c r="AD79" i="1"/>
  <c r="AI79" i="1"/>
  <c r="AO79" i="1"/>
  <c r="AZ35" i="1"/>
  <c r="AX35" i="1"/>
  <c r="AZ74" i="1"/>
  <c r="AX74" i="1"/>
  <c r="AZ9" i="1"/>
  <c r="AX9" i="1"/>
  <c r="AZ6" i="1"/>
  <c r="AX6" i="1"/>
  <c r="AZ76" i="1"/>
  <c r="AX76" i="1"/>
  <c r="AZ49" i="1"/>
  <c r="AX49" i="1"/>
  <c r="AZ67" i="1"/>
  <c r="AX67" i="1"/>
  <c r="AZ33" i="1"/>
  <c r="AX33" i="1"/>
  <c r="AZ45" i="1"/>
  <c r="AX45" i="1"/>
  <c r="AZ8" i="1"/>
  <c r="AX8" i="1"/>
  <c r="AZ13" i="1"/>
  <c r="AX13" i="1"/>
  <c r="AZ7" i="1"/>
  <c r="AX7" i="1"/>
  <c r="AZ32" i="1"/>
  <c r="AX32" i="1"/>
  <c r="AZ4" i="1"/>
  <c r="AX4" i="1"/>
  <c r="AZ39" i="1"/>
  <c r="AX39" i="1"/>
  <c r="AZ25" i="1"/>
  <c r="AX25" i="1"/>
  <c r="AZ18" i="1"/>
  <c r="AX18" i="1"/>
  <c r="AZ3" i="1"/>
  <c r="AS77" i="1"/>
  <c r="AR77" i="1"/>
  <c r="AZ44" i="1"/>
  <c r="AX44" i="1"/>
  <c r="AZ29" i="1"/>
  <c r="AX29" i="1"/>
  <c r="AZ41" i="1"/>
  <c r="AX41" i="1"/>
  <c r="AZ66" i="1"/>
  <c r="AX66" i="1"/>
  <c r="AZ16" i="1"/>
  <c r="AX16" i="1"/>
  <c r="AZ56" i="1"/>
  <c r="AX56" i="1"/>
  <c r="AZ58" i="1"/>
  <c r="AX58" i="1"/>
  <c r="AZ53" i="1"/>
  <c r="AX53" i="1"/>
  <c r="AZ73" i="1"/>
  <c r="AX73" i="1"/>
  <c r="AZ15" i="1"/>
  <c r="AX15" i="1"/>
  <c r="AZ36" i="1"/>
  <c r="AX36" i="1"/>
  <c r="AZ5" i="1"/>
  <c r="AX5" i="1"/>
  <c r="BA74" i="1"/>
  <c r="BB74" i="1"/>
  <c r="BA9" i="1"/>
  <c r="BB9" i="1"/>
  <c r="BA6" i="1"/>
  <c r="BB6" i="1"/>
  <c r="BA76" i="1"/>
  <c r="BB76" i="1"/>
  <c r="BA49" i="1"/>
  <c r="BB49" i="1"/>
  <c r="BA67" i="1"/>
  <c r="BB67" i="1"/>
  <c r="BA33" i="1"/>
  <c r="BB33" i="1"/>
  <c r="BA45" i="1"/>
  <c r="BB45" i="1"/>
  <c r="BA8" i="1"/>
  <c r="BB8" i="1"/>
  <c r="BA13" i="1"/>
  <c r="BB13" i="1"/>
  <c r="BA7" i="1"/>
  <c r="BB7" i="1"/>
  <c r="BA32" i="1"/>
  <c r="BB32" i="1"/>
  <c r="BA4" i="1"/>
  <c r="BB4" i="1"/>
  <c r="BA39" i="1"/>
  <c r="BB39" i="1"/>
  <c r="BA25" i="1"/>
  <c r="BB25" i="1"/>
  <c r="BA18" i="1"/>
  <c r="BB18" i="1"/>
  <c r="BA3" i="1"/>
  <c r="AU77" i="1"/>
  <c r="AT77" i="1"/>
  <c r="BB3" i="1"/>
  <c r="AW77" i="1"/>
  <c r="BA44" i="1"/>
  <c r="BB44" i="1"/>
  <c r="BA29" i="1"/>
  <c r="BB29" i="1"/>
  <c r="BA41" i="1"/>
  <c r="BB41" i="1"/>
  <c r="BA66" i="1"/>
  <c r="BB66" i="1"/>
  <c r="BA16" i="1"/>
  <c r="BB16" i="1"/>
  <c r="BA56" i="1"/>
  <c r="BB56" i="1"/>
  <c r="BA58" i="1"/>
  <c r="BB58" i="1"/>
  <c r="BA53" i="1"/>
  <c r="BB53" i="1"/>
  <c r="BA73" i="1"/>
  <c r="BB73" i="1"/>
  <c r="BA15" i="1"/>
  <c r="BB15" i="1"/>
  <c r="BA36" i="1"/>
  <c r="BB36" i="1"/>
  <c r="BA5" i="1"/>
  <c r="BB5" i="1"/>
  <c r="BA37" i="1"/>
  <c r="BB37" i="1"/>
  <c r="BA20" i="1"/>
  <c r="BB20" i="1"/>
  <c r="BA43" i="1"/>
  <c r="BB43" i="1"/>
  <c r="BA34" i="1"/>
  <c r="BB34" i="1"/>
  <c r="BA47" i="1"/>
  <c r="BB47" i="1"/>
  <c r="BA70" i="1"/>
  <c r="BB70" i="1"/>
  <c r="BA60" i="1"/>
  <c r="BB60" i="1"/>
  <c r="BA68" i="1"/>
  <c r="BB68" i="1"/>
  <c r="BA55" i="1"/>
  <c r="BB55" i="1"/>
  <c r="BA21" i="1"/>
  <c r="BB21" i="1"/>
  <c r="BA38" i="1"/>
  <c r="BB38" i="1"/>
  <c r="BA57" i="1"/>
  <c r="BB57" i="1"/>
  <c r="BA23" i="1"/>
  <c r="BB23" i="1"/>
  <c r="BA19" i="1"/>
  <c r="BB19" i="1"/>
  <c r="BA28" i="1"/>
  <c r="BB28" i="1"/>
  <c r="BA62" i="1"/>
  <c r="BB62" i="1"/>
  <c r="BA63" i="1"/>
  <c r="BB63" i="1"/>
  <c r="BA72" i="1"/>
  <c r="BB72" i="1"/>
  <c r="P78" i="1"/>
  <c r="Q80" i="1" s="1"/>
  <c r="J78" i="1"/>
  <c r="K80" i="1" s="1"/>
  <c r="K77" i="1"/>
  <c r="Q77" i="1"/>
  <c r="AI77" i="1"/>
  <c r="V77" i="1"/>
  <c r="AO77" i="1"/>
  <c r="AY77" i="1" l="1"/>
  <c r="AX77" i="1"/>
  <c r="BC83" i="1"/>
  <c r="BC84" i="1" s="1"/>
  <c r="BC85" i="1" s="1"/>
  <c r="BB83" i="1"/>
  <c r="BB84" i="1" s="1"/>
  <c r="BB85" i="1" s="1"/>
  <c r="BA83" i="1"/>
  <c r="BA84" i="1" s="1"/>
  <c r="BA85" i="1" s="1"/>
</calcChain>
</file>

<file path=xl/sharedStrings.xml><?xml version="1.0" encoding="utf-8"?>
<sst xmlns="http://schemas.openxmlformats.org/spreadsheetml/2006/main" count="764" uniqueCount="258">
  <si>
    <t>Section A</t>
  </si>
  <si>
    <t>Section B</t>
  </si>
  <si>
    <t>Section C</t>
  </si>
  <si>
    <t>Section D</t>
  </si>
  <si>
    <t>Section E</t>
  </si>
  <si>
    <t>Section F</t>
  </si>
  <si>
    <t>Platform</t>
  </si>
  <si>
    <t>Rating IOS</t>
  </si>
  <si>
    <t>Rating Android</t>
  </si>
  <si>
    <t>Application</t>
  </si>
  <si>
    <t>Q1</t>
  </si>
  <si>
    <t>Q2</t>
  </si>
  <si>
    <t>Q3</t>
  </si>
  <si>
    <t>Q4</t>
  </si>
  <si>
    <t>Q5</t>
  </si>
  <si>
    <t>SUM</t>
  </si>
  <si>
    <t>AV</t>
  </si>
  <si>
    <t>Q6</t>
  </si>
  <si>
    <t>Q7</t>
  </si>
  <si>
    <t>Q8</t>
  </si>
  <si>
    <t>Q9</t>
  </si>
  <si>
    <t>Q10</t>
  </si>
  <si>
    <t>Q11</t>
  </si>
  <si>
    <t>Q12</t>
  </si>
  <si>
    <t>Q13</t>
  </si>
  <si>
    <t>Q14</t>
  </si>
  <si>
    <t>Q15</t>
  </si>
  <si>
    <t>Q16</t>
  </si>
  <si>
    <t>Q17</t>
  </si>
  <si>
    <t>Q18</t>
  </si>
  <si>
    <t>Q19</t>
  </si>
  <si>
    <t>Q20</t>
  </si>
  <si>
    <t>Q21</t>
  </si>
  <si>
    <t>Q22</t>
  </si>
  <si>
    <t>Q23</t>
  </si>
  <si>
    <t>Q24</t>
  </si>
  <si>
    <t>Q25</t>
  </si>
  <si>
    <t>Remarks</t>
  </si>
  <si>
    <t>timer/information/both</t>
  </si>
  <si>
    <t>AVERAGE objective (A - D)</t>
  </si>
  <si>
    <t>STDEV</t>
  </si>
  <si>
    <t>AVERAGE EB (.E)</t>
  </si>
  <si>
    <t>AVERAGE subjective (F)</t>
  </si>
  <si>
    <t>TOTAL</t>
  </si>
  <si>
    <t>spear obj</t>
  </si>
  <si>
    <t>spear e-b</t>
  </si>
  <si>
    <t>spear sub</t>
  </si>
  <si>
    <t>Range, stdev per question</t>
  </si>
  <si>
    <t>i</t>
  </si>
  <si>
    <t>Dental Coach</t>
  </si>
  <si>
    <t>App provides accurate information, though no brushing tracker, and also information sources are not cited but professional opinions, Ui is fine</t>
  </si>
  <si>
    <t>b</t>
  </si>
  <si>
    <t>a, i</t>
  </si>
  <si>
    <t>na</t>
  </si>
  <si>
    <t>MouthCare</t>
  </si>
  <si>
    <t>App looks really professional, first app where official sources are cited, though not scientific papers. Amount of information is however limited.</t>
  </si>
  <si>
    <t>Healthy Mouth</t>
  </si>
  <si>
    <t>App gives relevant information that appears to be correct, however it is mostly for the clinic linked to it.</t>
  </si>
  <si>
    <t>a</t>
  </si>
  <si>
    <t>Toothbrush Reminder: Brushie</t>
  </si>
  <si>
    <t>Good UI, professional, language is good, little information about brushing, no clear explenation.</t>
  </si>
  <si>
    <t>t</t>
  </si>
  <si>
    <t>Brush DJ</t>
  </si>
  <si>
    <t>App does contain sources for learning brushing/flossing etc, though it is from youtube.</t>
  </si>
  <si>
    <t>Disney Magic Timer by Oral-B</t>
  </si>
  <si>
    <t>For children, visually appealing for childres, no instruction on how to brush/animation for brushing could be misleading</t>
  </si>
  <si>
    <t>Brush Teeth Reminder</t>
  </si>
  <si>
    <t xml:space="preserve">Ui and visuals fine, basic brushing app, uses reminders and statistics, gives explenation of brushing but mostly incorrect/unclear, no visual support </t>
  </si>
  <si>
    <t>Oclean Care +</t>
  </si>
  <si>
    <t>requires hardware</t>
  </si>
  <si>
    <t>Kirstys Smile Academy</t>
  </si>
  <si>
    <t>requires subscription</t>
  </si>
  <si>
    <t>Dentinho da Fada</t>
  </si>
  <si>
    <t>Spaans, arcade</t>
  </si>
  <si>
    <t>Philips Sonicare For Kids</t>
  </si>
  <si>
    <t>Good app for kids, though again missing educational features</t>
  </si>
  <si>
    <t>Oral Genome - Dental Wellness</t>
  </si>
  <si>
    <t>Must be used with hardware</t>
  </si>
  <si>
    <t>Simple Teeth</t>
  </si>
  <si>
    <t>Simple timer, but it works, although the same can be achieved with the native timer on mobile</t>
  </si>
  <si>
    <t>Clean Teeth - Toothbrush Timer</t>
  </si>
  <si>
    <t>Really basic app. UI is good in its basic form. It is missing good information which makes it not a good app.</t>
  </si>
  <si>
    <t>Denty: Teeth Health &amp; Notes</t>
  </si>
  <si>
    <t>Subscription app</t>
  </si>
  <si>
    <t>Chomper Chums®</t>
  </si>
  <si>
    <t>Fine app for kids but a little old (does not use the whole screen) and also no instruction on how to brush for example</t>
  </si>
  <si>
    <t>Brushing Hero</t>
  </si>
  <si>
    <t>Gamification is well done but dangerous for quality of brushing. No information or anything. Professional app though</t>
  </si>
  <si>
    <t>MyOlo Health</t>
  </si>
  <si>
    <t>Great professional UI. App is mostly targeted for Kenya, but there are some goods tips (not scientifically) for improving oral health care for Kenyans</t>
  </si>
  <si>
    <t>Toothbrush Timer | Nubo AI</t>
  </si>
  <si>
    <t>UI looks good and modern, calendar feature, no information</t>
  </si>
  <si>
    <t>quip: Oral Care Companion</t>
  </si>
  <si>
    <t>needs hardware</t>
  </si>
  <si>
    <t>Toothbrush Timer: Monster Hunt</t>
  </si>
  <si>
    <t>Little gamification, UI is fine, no information on brushing</t>
  </si>
  <si>
    <t>Truthbrush</t>
  </si>
  <si>
    <t>MoodBrush – Brush with Music</t>
  </si>
  <si>
    <t>UI is fine, has a paywall, just a brush timer with a few tips and instructions which make sense</t>
  </si>
  <si>
    <t>Lumoral</t>
  </si>
  <si>
    <t>iSpruz</t>
  </si>
  <si>
    <t>ToddleBop</t>
  </si>
  <si>
    <t>Gamification is fine, this is for parents and very young children. Needs info on brushing for parents</t>
  </si>
  <si>
    <t>Brushout</t>
  </si>
  <si>
    <t>Timer with a little bit some information about flossing etc, but are youtube videos, no scientific sources, Ui is ok</t>
  </si>
  <si>
    <t>Dental Care App</t>
  </si>
  <si>
    <t>For specific practice</t>
  </si>
  <si>
    <t>Kids Dental App</t>
  </si>
  <si>
    <t>Italian</t>
  </si>
  <si>
    <t>GUM SMART</t>
  </si>
  <si>
    <t>App looks and feels good, though has te be paired with gum brush for optimal use</t>
  </si>
  <si>
    <t>Oral-B</t>
  </si>
  <si>
    <t>Mostly target at use with hardware, without hardware not a special app but design is good.</t>
  </si>
  <si>
    <t>YouBrush</t>
  </si>
  <si>
    <t>Brush gingiva = dangerous without information! innovative to use sound for brushing/no brushing. UI is fine</t>
  </si>
  <si>
    <t>Teeth brushing timer</t>
  </si>
  <si>
    <t>App UI and visuals are fine, the basics of brushing is there but it is way too simplified</t>
  </si>
  <si>
    <t>Brush our teeth</t>
  </si>
  <si>
    <t>Timer for kids, but with an overall ok guide on how to brush, lacking proper visuals to support this. Ui is a bit dated</t>
  </si>
  <si>
    <t>eBook for Oral Health Literacy</t>
  </si>
  <si>
    <t xml:space="preserve">The app does provide some information in a way that is comprehensible for children, but the visuals make it not interesting for them to read. </t>
  </si>
  <si>
    <t>BrushNow - Toothbrush Timer</t>
  </si>
  <si>
    <t>It somewhat shows the correct order of brushing but not technique or anything. UI is simple and bit outdated</t>
  </si>
  <si>
    <t>Dental Track</t>
  </si>
  <si>
    <t>Instructional videos don’t work. App looks ok, but is basically just a timer.</t>
  </si>
  <si>
    <t>32teeth</t>
  </si>
  <si>
    <t>Russian</t>
  </si>
  <si>
    <t>Brush | The Tooth Companion</t>
  </si>
  <si>
    <t>A timer without visuals, Ui is simplistic, has a calender to track progress though.</t>
  </si>
  <si>
    <t>Smiley: Teeth Health Buddy</t>
  </si>
  <si>
    <t>Needs subscription</t>
  </si>
  <si>
    <t>Spazzolino</t>
  </si>
  <si>
    <t>UI and graphics are nice, modern app, although just a timer and scheduler. Nothing special or interesting. The calendar function doesn’t work properly</t>
  </si>
  <si>
    <t>Toothbrush Timer: Toothy</t>
  </si>
  <si>
    <t>Just a timer with limited explenation, no visual input, UI is fine</t>
  </si>
  <si>
    <t>Mimizaur: Tooth Brushing Timer</t>
  </si>
  <si>
    <t>App for children, doesn’t explain brushing but could motivate kids to start brushing.</t>
  </si>
  <si>
    <t>Toothbrush Tracker</t>
  </si>
  <si>
    <t>not a self-care app</t>
  </si>
  <si>
    <t>My Teethtimer</t>
  </si>
  <si>
    <t>Very basic app, just atimer, nothing else. UI work fine</t>
  </si>
  <si>
    <t>Brush Up: Toothbrush Trainer</t>
  </si>
  <si>
    <t>App discontinued</t>
  </si>
  <si>
    <t>Yeyzoo brushing fun timer</t>
  </si>
  <si>
    <t>App for children, UI for children is OK, though it is really only a timer, no instruction or anything.</t>
  </si>
  <si>
    <t>Dental Hygiene Progress Track</t>
  </si>
  <si>
    <t>Kirsty's Smile Academy</t>
  </si>
  <si>
    <t>Double ('s)</t>
  </si>
  <si>
    <t>Tooth Brush Music Timer: Toomy</t>
  </si>
  <si>
    <t>Subscription app, no free tier</t>
  </si>
  <si>
    <t>BetterMouth Teeth Brushing App</t>
  </si>
  <si>
    <t>The app gives all sorts of programs for all sorts of oral health problems but it really is just a brush timer. It doesn't provide any information, at least not in the free tier. UI is fine</t>
  </si>
  <si>
    <t>ToothWatch</t>
  </si>
  <si>
    <t>Cleeth</t>
  </si>
  <si>
    <t>Some features like calendar link and timer set, but again is not dental specific, can be used for anything that needs a timer</t>
  </si>
  <si>
    <t>Mintora: Teeth Brush Routine</t>
  </si>
  <si>
    <t>Huge paywall: one time brush timer usage then pay, UI, no good target group though</t>
  </si>
  <si>
    <t>BrushPal • toothbrush timer</t>
  </si>
  <si>
    <t>Just a timer with reminder, UI is simplistic but ok</t>
  </si>
  <si>
    <t>My Tooth Brush - HD</t>
  </si>
  <si>
    <t>Shows a timer for a child, that is it, old app without any value.</t>
  </si>
  <si>
    <t>Fluorid Check</t>
  </si>
  <si>
    <t>Duits</t>
  </si>
  <si>
    <t>Brush Tracker</t>
  </si>
  <si>
    <t>Again just a timer, with a small calendar. Limited functionality. UI is ok</t>
  </si>
  <si>
    <t>2ganger2</t>
  </si>
  <si>
    <t>Noors</t>
  </si>
  <si>
    <t>Brush Reminder</t>
  </si>
  <si>
    <t>Just a timer with tracker in calendar form. UI is ok</t>
  </si>
  <si>
    <t>Magic Sand Timer</t>
  </si>
  <si>
    <t>Only a timer for children</t>
  </si>
  <si>
    <t>EFP</t>
  </si>
  <si>
    <t>Not for patiens</t>
  </si>
  <si>
    <t>Go Brush</t>
  </si>
  <si>
    <t>Apple watch only</t>
  </si>
  <si>
    <t>Teeth Brush Timer &amp; Alarm</t>
  </si>
  <si>
    <t>App looks like it is from 2010, old UI, timer has a few tips on brushing but no clear explenation besides that.</t>
  </si>
  <si>
    <t>How to Take Care of Your Teeth</t>
  </si>
  <si>
    <t>App has a really bad ui, looks like it is from the year 1990, information within could be correct but no sources, repeats information constantly.</t>
  </si>
  <si>
    <t>Brushr</t>
  </si>
  <si>
    <t>Only a timer, no information, no calendar. User can choose timer, this app can be used for anything that needs a timer</t>
  </si>
  <si>
    <t>Smart Brush Timer</t>
  </si>
  <si>
    <t>Now a paid app</t>
  </si>
  <si>
    <t>ToothBrushing Daily Guide</t>
  </si>
  <si>
    <t>Very basic timer, lots of adds, 1$ for premium not worth it at all. UI is semi OK</t>
  </si>
  <si>
    <t>Toothbrush Fun Timer</t>
  </si>
  <si>
    <t>Good Job You Flossed!</t>
  </si>
  <si>
    <t>Just a button to tap that you flossed, no reminders, no settings, no information</t>
  </si>
  <si>
    <t>Teeth4Life</t>
  </si>
  <si>
    <t>80% of the features don’t work. There is not really a clear goal or cant be teted since it doesn't work. UI has potential but is ok at this moment</t>
  </si>
  <si>
    <t>All dental diseases</t>
  </si>
  <si>
    <t>Bad UI, information is partially correct but seems generated from AI. No sources.</t>
  </si>
  <si>
    <t>AiBrush</t>
  </si>
  <si>
    <t>How to Whiten Teeth at home</t>
  </si>
  <si>
    <t>Ui is semi ok, information is really bad and misleading, possibily dangerous.</t>
  </si>
  <si>
    <t>AVERAGE</t>
  </si>
  <si>
    <t>VARIANCE</t>
  </si>
  <si>
    <t>Crohnbachs (a)</t>
  </si>
  <si>
    <t>n</t>
  </si>
  <si>
    <t>spearman</t>
  </si>
  <si>
    <t>obj&gt;e-d</t>
  </si>
  <si>
    <t>obj&gt;sub</t>
  </si>
  <si>
    <t>e-d&gt;sub</t>
  </si>
  <si>
    <t>rho</t>
  </si>
  <si>
    <t>t-value</t>
  </si>
  <si>
    <t>p-value</t>
  </si>
  <si>
    <t>Section</t>
  </si>
  <si>
    <t>Question number</t>
  </si>
  <si>
    <t>Question</t>
  </si>
  <si>
    <t>A</t>
  </si>
  <si>
    <t>Entertainment: Is the app fun/entertaining to use? Does it use any strategies to increase engagement through entertainment (e.g. through gamification)?</t>
  </si>
  <si>
    <t>Interest: Is the app interesting to use? Does it use any strategies to increase engagement by presenting its content in an interesting way?</t>
  </si>
  <si>
    <t>Customisation: Does it provide/retain all necessary settings/preferences for apps features (e.g. sound, content, notifications, etc.)?</t>
  </si>
  <si>
    <t>Interactivity: Does it allow user input, provide feedback, contain prompts (reminders, sharing options, notifications, etc.)? Note: these functions need to be customisable and not overwhelming in order to be perfect.</t>
  </si>
  <si>
    <t>Target group: Is the app content (visual information, language, design) appropriate for your target audience?</t>
  </si>
  <si>
    <t>B</t>
  </si>
  <si>
    <t>Performance: How accurately/fast do the app features (functions) and components (buttons/menus) work?</t>
  </si>
  <si>
    <t>Ease of use: How easy is it to learn how to use the app; how clear are the menu labels/icons and instructions?</t>
  </si>
  <si>
    <t>Navigation: Is moving between screens logical/accurate/appropriate/ uninterrupted; are all necessary screen links present?</t>
  </si>
  <si>
    <t>Gestural design: Are interactions (taps/swipes/pinches/scrolls) consistent and intuitive across all components/screens?</t>
  </si>
  <si>
    <t>C</t>
  </si>
  <si>
    <t>Layout: Is arrangement and size of buttons/icons/menus/content on the screen appropriate or zoomable if needed?</t>
  </si>
  <si>
    <t>Graphics: How high is the quality/resolution of graphics used for buttons/icons/menus/content?</t>
  </si>
  <si>
    <t>Visual appeal: How good does the app look?</t>
  </si>
  <si>
    <t>D</t>
  </si>
  <si>
    <t>Accuracy of app description (in app store): Does app contain what is described?</t>
  </si>
  <si>
    <t>Goals: Does app have specific, measurable and achievable goals (specified in app store description or within the app itself)?</t>
  </si>
  <si>
    <t>Quality of information: Is app content correct, well written, and relevant to the goal/topic of the app?</t>
  </si>
  <si>
    <t>Quantity of information: Is the extent coverage within the scope of the app; and comprehensive but concise?</t>
  </si>
  <si>
    <t>Visual information: Is visual explanation of concepts – through charts/graphs/images/videos, etc. – clear, logical, correct?</t>
  </si>
  <si>
    <t>Credibility: Does the app come from a legitimate source (specified in app store description or within the app itself)?</t>
  </si>
  <si>
    <t>E</t>
  </si>
  <si>
    <t>Transparency and sources: are sources, authors and/or institutes that are responsible for the information cited, and are these sources published in scientific literature</t>
  </si>
  <si>
    <t>Professional guidelines: to what extent does the information correspond to national and international guidelines like KNMT (Royal Dutch Society for the Advancement of Dentistry), KIMO (Knowledge Institute for Oral Care) or NVVP (Dutch Society for Periodontology)</t>
  </si>
  <si>
    <t>Actuality: is the provided information recent or is there more up-to-date information, and is there a reference to when this information was added/updated</t>
  </si>
  <si>
    <t>F</t>
  </si>
  <si>
    <t>Would you recommend this app to people who might benefit from it?</t>
  </si>
  <si>
    <t>How many times do you think you would use this app in the next 12 months if it was relevant to you? 1</t>
  </si>
  <si>
    <t>Would you pay for this app?</t>
  </si>
  <si>
    <t>What is your overall star rating of the app?</t>
  </si>
  <si>
    <t>rank avg ios</t>
  </si>
  <si>
    <t>rank avg total</t>
  </si>
  <si>
    <t xml:space="preserve"> </t>
  </si>
  <si>
    <t>t value</t>
  </si>
  <si>
    <t>p value</t>
  </si>
  <si>
    <t>rank average android</t>
  </si>
  <si>
    <t>Average objective (SD)</t>
  </si>
  <si>
    <t>Average ED (SD)</t>
  </si>
  <si>
    <t>Average subjective (SD)</t>
  </si>
  <si>
    <t>Total MARS (SD)</t>
  </si>
  <si>
    <t>avg</t>
  </si>
  <si>
    <t>std</t>
  </si>
  <si>
    <t>label</t>
  </si>
  <si>
    <t>Name</t>
  </si>
  <si>
    <t>Reason</t>
  </si>
  <si>
    <t>Spanish, arcade</t>
  </si>
  <si>
    <t>German</t>
  </si>
  <si>
    <t>Norwegian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</si>
</sst>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E+00"/>
  </numFmts>
  <fonts count="7" x14ac:knownFonts="1">
    <font>
      <sz val="11"/>
      <color theme="1"/>
      <name val="Calibri"/>
      <family val="2"/>
      <scheme val="minor"/>
    </font>
    <font>
      <b/>
      <sz val="11"/>
      <color rgb="FFFFFFFF"/>
      <name val="Calibri"/>
      <family val="2"/>
    </font>
    <font>
      <b/>
      <sz val="11"/>
      <name val="Calibri"/>
      <family val="2"/>
    </font>
    <font>
      <sz val="11"/>
      <color rgb="FF000000"/>
      <name val="Calibri"/>
      <family val="2"/>
    </font>
    <font>
      <sz val="12"/>
      <color theme="1"/>
      <name val="Aptos"/>
      <family val="2"/>
    </font>
    <font>
      <sz val="12"/>
      <color rgb="FF000000"/>
      <name val="Aptos"/>
      <family val="2"/>
    </font>
    <font>
      <b/>
      <sz val="11"/>
      <color theme="1"/>
      <name val="Calibri"/>
      <family val="2"/>
      <scheme val="minor"/>
    </font>
  </fonts>
  <fills count="5">
    <fill>
      <patternFill patternType="none"/>
    </fill>
    <fill>
      <patternFill patternType="gray125"/>
    </fill>
    <fill>
      <patternFill patternType="solid">
        <fgColor rgb="FF2F5597"/>
        <bgColor rgb="FF000000"/>
      </patternFill>
    </fill>
    <fill>
      <patternFill patternType="solid">
        <fgColor rgb="FFD9E1F2"/>
        <bgColor rgb="FF000000"/>
      </patternFill>
    </fill>
    <fill>
      <patternFill patternType="solid">
        <fgColor theme="0"/>
        <bgColor indexed="64"/>
      </patternFill>
    </fill>
  </fills>
  <borders count="9">
    <border>
      <left/>
      <right/>
      <top/>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bottom style="thin">
        <color rgb="FFA6A6A6"/>
      </bottom>
      <diagonal/>
    </border>
    <border>
      <left/>
      <right style="thin">
        <color rgb="FFA6A6A6"/>
      </right>
      <top/>
      <bottom style="thin">
        <color rgb="FFA6A6A6"/>
      </bottom>
      <diagonal/>
    </border>
    <border>
      <left/>
      <right/>
      <top/>
      <bottom style="medium">
        <color indexed="64"/>
      </bottom>
      <diagonal/>
    </border>
    <border>
      <left/>
      <right style="thin">
        <color rgb="FFA6A6A6"/>
      </right>
      <top/>
      <bottom/>
      <diagonal/>
    </border>
    <border>
      <left style="medium">
        <color indexed="64"/>
      </left>
      <right style="medium">
        <color indexed="64"/>
      </right>
      <top/>
      <bottom style="medium">
        <color indexed="64"/>
      </bottom>
      <diagonal/>
    </border>
  </borders>
  <cellStyleXfs count="1">
    <xf numFmtId="0" fontId="0" fillId="0" borderId="0"/>
  </cellStyleXfs>
  <cellXfs count="24">
    <xf numFmtId="0" fontId="0" fillId="0" borderId="0" xfId="0"/>
    <xf numFmtId="0" fontId="2" fillId="3" borderId="4" xfId="0" applyFont="1" applyFill="1" applyBorder="1" applyAlignment="1">
      <alignment wrapText="1"/>
    </xf>
    <xf numFmtId="0" fontId="2" fillId="3" borderId="5" xfId="0" applyFont="1" applyFill="1" applyBorder="1" applyAlignment="1">
      <alignment wrapText="1"/>
    </xf>
    <xf numFmtId="0" fontId="3" fillId="0" borderId="0" xfId="0" applyFont="1"/>
    <xf numFmtId="0" fontId="3" fillId="0" borderId="0" xfId="0" applyFont="1" applyAlignment="1">
      <alignment wrapText="1"/>
    </xf>
    <xf numFmtId="0" fontId="0" fillId="0" borderId="0" xfId="0" applyAlignment="1">
      <alignment wrapText="1"/>
    </xf>
    <xf numFmtId="0" fontId="0" fillId="4" borderId="0" xfId="0" applyFill="1"/>
    <xf numFmtId="0" fontId="4" fillId="0" borderId="0" xfId="0" applyFont="1"/>
    <xf numFmtId="0" fontId="5" fillId="0" borderId="0" xfId="0" applyFont="1" applyAlignment="1">
      <alignment wrapText="1"/>
    </xf>
    <xf numFmtId="0" fontId="6" fillId="0" borderId="0" xfId="0" applyFont="1"/>
    <xf numFmtId="2" fontId="0" fillId="0" borderId="0" xfId="0" applyNumberFormat="1"/>
    <xf numFmtId="0" fontId="0" fillId="0" borderId="6" xfId="0" applyBorder="1"/>
    <xf numFmtId="2" fontId="6" fillId="0" borderId="0" xfId="0" applyNumberFormat="1" applyFont="1"/>
    <xf numFmtId="164" fontId="0" fillId="0" borderId="0" xfId="0" applyNumberFormat="1"/>
    <xf numFmtId="0" fontId="2" fillId="3" borderId="7" xfId="0" applyFont="1" applyFill="1" applyBorder="1" applyAlignment="1">
      <alignment wrapText="1"/>
    </xf>
    <xf numFmtId="2" fontId="6" fillId="0" borderId="8" xfId="0" applyNumberFormat="1" applyFont="1" applyBorder="1"/>
    <xf numFmtId="164" fontId="0" fillId="0" borderId="6" xfId="0" applyNumberFormat="1" applyBorder="1"/>
    <xf numFmtId="2" fontId="0" fillId="0" borderId="6" xfId="0" applyNumberFormat="1" applyBorder="1"/>
    <xf numFmtId="165" fontId="0" fillId="0" borderId="0" xfId="0" applyNumberFormat="1"/>
    <xf numFmtId="0" fontId="1" fillId="2" borderId="2" xfId="0" applyFont="1" applyFill="1" applyBorder="1" applyAlignment="1">
      <alignment wrapText="1"/>
    </xf>
    <xf numFmtId="0" fontId="2" fillId="3" borderId="0" xfId="0" applyFont="1" applyFill="1" applyAlignment="1">
      <alignment wrapText="1"/>
    </xf>
    <xf numFmtId="0" fontId="1" fillId="2" borderId="2" xfId="0" applyFont="1" applyFill="1" applyBorder="1" applyAlignment="1">
      <alignment wrapText="1"/>
    </xf>
    <xf numFmtId="0" fontId="1" fillId="2" borderId="3" xfId="0" applyFont="1" applyFill="1" applyBorder="1" applyAlignment="1">
      <alignment wrapText="1"/>
    </xf>
    <xf numFmtId="0" fontId="1" fillId="2" borderId="1" xfId="0" applyFont="1" applyFill="1" applyBorder="1" applyAlignment="1">
      <alignment wrapText="1"/>
    </xf>
  </cellXfs>
  <cellStyles count="1">
    <cellStyle name="Standaard"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8.4933353918995425E-2"/>
          <c:y val="0.16655029093931836"/>
          <c:w val="0.89709278987185426"/>
          <c:h val="0.68580779023569682"/>
        </c:manualLayout>
      </c:layout>
      <c:barChart>
        <c:barDir val="col"/>
        <c:grouping val="clustered"/>
        <c:varyColors val="0"/>
        <c:ser>
          <c:idx val="0"/>
          <c:order val="0"/>
          <c:tx>
            <c:strRef>
              <c:f>graph_question_average!$B$8</c:f>
              <c:strCache>
                <c:ptCount val="1"/>
                <c:pt idx="0">
                  <c:v>avg</c:v>
                </c:pt>
              </c:strCache>
            </c:strRef>
          </c:tx>
          <c:spPr>
            <a:solidFill>
              <a:schemeClr val="dk1">
                <a:tint val="88500"/>
              </a:schemeClr>
            </a:solidFill>
            <a:ln>
              <a:noFill/>
            </a:ln>
            <a:effectLst/>
          </c:spPr>
          <c:invertIfNegative val="0"/>
          <c:dLbls>
            <c:dLbl>
              <c:idx val="0"/>
              <c:tx>
                <c:rich>
                  <a:bodyPr/>
                  <a:lstStyle/>
                  <a:p>
                    <a:fld id="{0A7CE78A-F396-40E2-8E64-C93BD7103CC5}" type="CELLRANGE">
                      <a:rPr lang="en-US"/>
                      <a:pPr/>
                      <a:t>[CELLRANGE]</a:t>
                    </a:fld>
                    <a:endParaRPr lang="nl-NL"/>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700F-4E8A-B264-2349433388DA}"/>
                </c:ext>
              </c:extLst>
            </c:dLbl>
            <c:dLbl>
              <c:idx val="1"/>
              <c:tx>
                <c:rich>
                  <a:bodyPr/>
                  <a:lstStyle/>
                  <a:p>
                    <a:fld id="{9AD7C4AF-D774-4E0B-8023-1F7DB7410609}" type="CELLRANGE">
                      <a:rPr lang="nl-NL"/>
                      <a:pPr/>
                      <a:t>[CELLRANGE]</a:t>
                    </a:fld>
                    <a:endParaRPr lang="nl-NL"/>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700F-4E8A-B264-2349433388DA}"/>
                </c:ext>
              </c:extLst>
            </c:dLbl>
            <c:dLbl>
              <c:idx val="2"/>
              <c:tx>
                <c:rich>
                  <a:bodyPr/>
                  <a:lstStyle/>
                  <a:p>
                    <a:fld id="{2FFE69DD-80A7-4D77-AADD-C807598E5A73}" type="CELLRANGE">
                      <a:rPr lang="nl-NL"/>
                      <a:pPr/>
                      <a:t>[CELLRANGE]</a:t>
                    </a:fld>
                    <a:endParaRPr lang="nl-NL"/>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700F-4E8A-B264-2349433388DA}"/>
                </c:ext>
              </c:extLst>
            </c:dLbl>
            <c:dLbl>
              <c:idx val="3"/>
              <c:tx>
                <c:rich>
                  <a:bodyPr/>
                  <a:lstStyle/>
                  <a:p>
                    <a:fld id="{4BF3026F-F10E-4484-BD0B-498D665F45B2}" type="CELLRANGE">
                      <a:rPr lang="nl-NL"/>
                      <a:pPr/>
                      <a:t>[CELLRANGE]</a:t>
                    </a:fld>
                    <a:endParaRPr lang="nl-NL"/>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700F-4E8A-B264-2349433388DA}"/>
                </c:ext>
              </c:extLst>
            </c:dLbl>
            <c:dLbl>
              <c:idx val="4"/>
              <c:tx>
                <c:rich>
                  <a:bodyPr/>
                  <a:lstStyle/>
                  <a:p>
                    <a:fld id="{6C4F4B38-F6A5-4156-AB34-701152EDFA7C}" type="CELLRANGE">
                      <a:rPr lang="nl-NL"/>
                      <a:pPr/>
                      <a:t>[CELLRANGE]</a:t>
                    </a:fld>
                    <a:endParaRPr lang="nl-NL"/>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700F-4E8A-B264-2349433388DA}"/>
                </c:ext>
              </c:extLst>
            </c:dLbl>
            <c:dLbl>
              <c:idx val="5"/>
              <c:tx>
                <c:rich>
                  <a:bodyPr/>
                  <a:lstStyle/>
                  <a:p>
                    <a:fld id="{E359BD75-32E7-4A18-AF86-9D0FCBD41822}" type="CELLRANGE">
                      <a:rPr lang="nl-NL"/>
                      <a:pPr/>
                      <a:t>[CELLRANGE]</a:t>
                    </a:fld>
                    <a:endParaRPr lang="nl-NL"/>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700F-4E8A-B264-2349433388DA}"/>
                </c:ext>
              </c:extLst>
            </c:dLbl>
            <c:dLbl>
              <c:idx val="6"/>
              <c:tx>
                <c:rich>
                  <a:bodyPr/>
                  <a:lstStyle/>
                  <a:p>
                    <a:fld id="{3AD7F2DC-AD57-4CB6-A29D-FDA30072DDBE}" type="CELLRANGE">
                      <a:rPr lang="nl-NL"/>
                      <a:pPr/>
                      <a:t>[CELLRANGE]</a:t>
                    </a:fld>
                    <a:endParaRPr lang="nl-NL"/>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700F-4E8A-B264-2349433388DA}"/>
                </c:ext>
              </c:extLst>
            </c:dLbl>
            <c:dLbl>
              <c:idx val="7"/>
              <c:tx>
                <c:rich>
                  <a:bodyPr/>
                  <a:lstStyle/>
                  <a:p>
                    <a:fld id="{EC246B44-281F-41F3-8DAA-A10A47B67170}" type="CELLRANGE">
                      <a:rPr lang="nl-NL"/>
                      <a:pPr/>
                      <a:t>[CELLRANGE]</a:t>
                    </a:fld>
                    <a:endParaRPr lang="nl-NL"/>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700F-4E8A-B264-2349433388DA}"/>
                </c:ext>
              </c:extLst>
            </c:dLbl>
            <c:dLbl>
              <c:idx val="8"/>
              <c:tx>
                <c:rich>
                  <a:bodyPr/>
                  <a:lstStyle/>
                  <a:p>
                    <a:fld id="{0F0A9DB0-4C43-45CD-B9BA-9DAEFD4DB6AA}" type="CELLRANGE">
                      <a:rPr lang="nl-NL"/>
                      <a:pPr/>
                      <a:t>[CELLRANGE]</a:t>
                    </a:fld>
                    <a:endParaRPr lang="nl-NL"/>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700F-4E8A-B264-2349433388DA}"/>
                </c:ext>
              </c:extLst>
            </c:dLbl>
            <c:dLbl>
              <c:idx val="9"/>
              <c:tx>
                <c:rich>
                  <a:bodyPr/>
                  <a:lstStyle/>
                  <a:p>
                    <a:fld id="{8C56638B-E7A2-43CE-BCBC-9F6BA7D387CF}" type="CELLRANGE">
                      <a:rPr lang="nl-NL"/>
                      <a:pPr/>
                      <a:t>[CELLRANGE]</a:t>
                    </a:fld>
                    <a:endParaRPr lang="nl-NL"/>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700F-4E8A-B264-2349433388DA}"/>
                </c:ext>
              </c:extLst>
            </c:dLbl>
            <c:dLbl>
              <c:idx val="10"/>
              <c:tx>
                <c:rich>
                  <a:bodyPr/>
                  <a:lstStyle/>
                  <a:p>
                    <a:fld id="{2D5150C9-4563-4E7F-A9C1-24E1B860A413}" type="CELLRANGE">
                      <a:rPr lang="nl-NL"/>
                      <a:pPr/>
                      <a:t>[CELLRANGE]</a:t>
                    </a:fld>
                    <a:endParaRPr lang="nl-NL"/>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700F-4E8A-B264-2349433388DA}"/>
                </c:ext>
              </c:extLst>
            </c:dLbl>
            <c:dLbl>
              <c:idx val="11"/>
              <c:tx>
                <c:rich>
                  <a:bodyPr/>
                  <a:lstStyle/>
                  <a:p>
                    <a:fld id="{3933DF9C-71D4-4192-BA9C-ABC862D2BA09}" type="CELLRANGE">
                      <a:rPr lang="nl-NL"/>
                      <a:pPr/>
                      <a:t>[CELLRANGE]</a:t>
                    </a:fld>
                    <a:endParaRPr lang="nl-NL"/>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700F-4E8A-B264-2349433388DA}"/>
                </c:ext>
              </c:extLst>
            </c:dLbl>
            <c:dLbl>
              <c:idx val="12"/>
              <c:tx>
                <c:rich>
                  <a:bodyPr/>
                  <a:lstStyle/>
                  <a:p>
                    <a:fld id="{0F4D7308-64C0-4832-B8FF-6A08A05D0210}" type="CELLRANGE">
                      <a:rPr lang="nl-NL"/>
                      <a:pPr/>
                      <a:t>[CELLRANGE]</a:t>
                    </a:fld>
                    <a:endParaRPr lang="nl-NL"/>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700F-4E8A-B264-2349433388DA}"/>
                </c:ext>
              </c:extLst>
            </c:dLbl>
            <c:dLbl>
              <c:idx val="13"/>
              <c:tx>
                <c:rich>
                  <a:bodyPr/>
                  <a:lstStyle/>
                  <a:p>
                    <a:fld id="{FB2C2E15-3848-4363-BE3D-9EA312B6E69F}" type="CELLRANGE">
                      <a:rPr lang="nl-NL"/>
                      <a:pPr/>
                      <a:t>[CELLRANGE]</a:t>
                    </a:fld>
                    <a:endParaRPr lang="nl-NL"/>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700F-4E8A-B264-2349433388DA}"/>
                </c:ext>
              </c:extLst>
            </c:dLbl>
            <c:dLbl>
              <c:idx val="14"/>
              <c:tx>
                <c:rich>
                  <a:bodyPr/>
                  <a:lstStyle/>
                  <a:p>
                    <a:fld id="{F0B7513A-E595-49EE-8290-30B24B491881}" type="CELLRANGE">
                      <a:rPr lang="nl-NL"/>
                      <a:pPr/>
                      <a:t>[CELLRANGE]</a:t>
                    </a:fld>
                    <a:endParaRPr lang="nl-NL"/>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700F-4E8A-B264-2349433388DA}"/>
                </c:ext>
              </c:extLst>
            </c:dLbl>
            <c:dLbl>
              <c:idx val="15"/>
              <c:tx>
                <c:rich>
                  <a:bodyPr/>
                  <a:lstStyle/>
                  <a:p>
                    <a:fld id="{C864623E-DC27-4DCD-A40F-D54D22AE5D5E}" type="CELLRANGE">
                      <a:rPr lang="nl-NL"/>
                      <a:pPr/>
                      <a:t>[CELLRANGE]</a:t>
                    </a:fld>
                    <a:endParaRPr lang="nl-NL"/>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700F-4E8A-B264-2349433388DA}"/>
                </c:ext>
              </c:extLst>
            </c:dLbl>
            <c:dLbl>
              <c:idx val="16"/>
              <c:tx>
                <c:rich>
                  <a:bodyPr/>
                  <a:lstStyle/>
                  <a:p>
                    <a:fld id="{78E83B61-DAD1-4A67-8330-532C29DAD977}" type="CELLRANGE">
                      <a:rPr lang="nl-NL"/>
                      <a:pPr/>
                      <a:t>[CELLRANGE]</a:t>
                    </a:fld>
                    <a:endParaRPr lang="nl-NL"/>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700F-4E8A-B264-2349433388DA}"/>
                </c:ext>
              </c:extLst>
            </c:dLbl>
            <c:dLbl>
              <c:idx val="17"/>
              <c:tx>
                <c:rich>
                  <a:bodyPr/>
                  <a:lstStyle/>
                  <a:p>
                    <a:fld id="{5AC32FC5-3BC2-4CDC-BF5F-5C79AD4433BC}" type="CELLRANGE">
                      <a:rPr lang="nl-NL"/>
                      <a:pPr/>
                      <a:t>[CELLRANGE]</a:t>
                    </a:fld>
                    <a:endParaRPr lang="nl-NL"/>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700F-4E8A-B264-2349433388DA}"/>
                </c:ext>
              </c:extLst>
            </c:dLbl>
            <c:dLbl>
              <c:idx val="18"/>
              <c:tx>
                <c:rich>
                  <a:bodyPr/>
                  <a:lstStyle/>
                  <a:p>
                    <a:fld id="{9B178B54-9C6B-4DE7-B522-36289359992A}" type="CELLRANGE">
                      <a:rPr lang="nl-NL"/>
                      <a:pPr/>
                      <a:t>[CELLRANGE]</a:t>
                    </a:fld>
                    <a:endParaRPr lang="nl-NL"/>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700F-4E8A-B264-2349433388DA}"/>
                </c:ext>
              </c:extLst>
            </c:dLbl>
            <c:dLbl>
              <c:idx val="19"/>
              <c:tx>
                <c:rich>
                  <a:bodyPr/>
                  <a:lstStyle/>
                  <a:p>
                    <a:fld id="{459576DF-1582-4DA2-A2A7-D1F040149225}" type="CELLRANGE">
                      <a:rPr lang="nl-NL"/>
                      <a:pPr/>
                      <a:t>[CELLRANGE]</a:t>
                    </a:fld>
                    <a:endParaRPr lang="nl-NL"/>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700F-4E8A-B264-2349433388DA}"/>
                </c:ext>
              </c:extLst>
            </c:dLbl>
            <c:dLbl>
              <c:idx val="20"/>
              <c:tx>
                <c:rich>
                  <a:bodyPr/>
                  <a:lstStyle/>
                  <a:p>
                    <a:fld id="{82961A50-94AE-4353-BEA4-E89828706715}" type="CELLRANGE">
                      <a:rPr lang="nl-NL"/>
                      <a:pPr/>
                      <a:t>[CELLRANGE]</a:t>
                    </a:fld>
                    <a:endParaRPr lang="nl-NL"/>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700F-4E8A-B264-2349433388DA}"/>
                </c:ext>
              </c:extLst>
            </c:dLbl>
            <c:dLbl>
              <c:idx val="21"/>
              <c:tx>
                <c:rich>
                  <a:bodyPr/>
                  <a:lstStyle/>
                  <a:p>
                    <a:fld id="{20B1A0CC-3C59-49FB-81F1-5E1F7E18C673}" type="CELLRANGE">
                      <a:rPr lang="nl-NL"/>
                      <a:pPr/>
                      <a:t>[CELLRANGE]</a:t>
                    </a:fld>
                    <a:endParaRPr lang="nl-NL"/>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700F-4E8A-B264-2349433388DA}"/>
                </c:ext>
              </c:extLst>
            </c:dLbl>
            <c:dLbl>
              <c:idx val="22"/>
              <c:tx>
                <c:rich>
                  <a:bodyPr/>
                  <a:lstStyle/>
                  <a:p>
                    <a:fld id="{A4566ED4-14C4-4847-A408-4B16A60E34D1}" type="CELLRANGE">
                      <a:rPr lang="nl-NL"/>
                      <a:pPr/>
                      <a:t>[CELLRANGE]</a:t>
                    </a:fld>
                    <a:endParaRPr lang="nl-NL"/>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700F-4E8A-B264-2349433388DA}"/>
                </c:ext>
              </c:extLst>
            </c:dLbl>
            <c:dLbl>
              <c:idx val="23"/>
              <c:tx>
                <c:rich>
                  <a:bodyPr/>
                  <a:lstStyle/>
                  <a:p>
                    <a:fld id="{787C1E36-D093-43C1-A35E-B021933A93A7}" type="CELLRANGE">
                      <a:rPr lang="nl-NL"/>
                      <a:pPr/>
                      <a:t>[CELLRANGE]</a:t>
                    </a:fld>
                    <a:endParaRPr lang="nl-NL"/>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700F-4E8A-B264-2349433388DA}"/>
                </c:ext>
              </c:extLst>
            </c:dLbl>
            <c:dLbl>
              <c:idx val="24"/>
              <c:tx>
                <c:rich>
                  <a:bodyPr/>
                  <a:lstStyle/>
                  <a:p>
                    <a:fld id="{5243A95C-8F4C-473D-B53A-76FC91E406A2}" type="CELLRANGE">
                      <a:rPr lang="nl-NL"/>
                      <a:pPr/>
                      <a:t>[CELLRANGE]</a:t>
                    </a:fld>
                    <a:endParaRPr lang="nl-NL"/>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700F-4E8A-B264-2349433388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graph_question_average!$C$7:$AA$7</c:f>
              <c:strCache>
                <c:ptCount val="25"/>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strCache>
            </c:strRef>
          </c:cat>
          <c:val>
            <c:numRef>
              <c:f>graph_question_average!$C$8:$AA$8</c:f>
              <c:numCache>
                <c:formatCode>0.00</c:formatCode>
                <c:ptCount val="25"/>
                <c:pt idx="0">
                  <c:v>2.1666666666666665</c:v>
                </c:pt>
                <c:pt idx="1">
                  <c:v>2.25</c:v>
                </c:pt>
                <c:pt idx="2">
                  <c:v>2.5208333333333335</c:v>
                </c:pt>
                <c:pt idx="3">
                  <c:v>2.6041666666666665</c:v>
                </c:pt>
                <c:pt idx="4">
                  <c:v>4.229166666666667</c:v>
                </c:pt>
                <c:pt idx="5">
                  <c:v>4.416666666666667</c:v>
                </c:pt>
                <c:pt idx="6">
                  <c:v>4.354166666666667</c:v>
                </c:pt>
                <c:pt idx="7">
                  <c:v>4.645833333333333</c:v>
                </c:pt>
                <c:pt idx="8">
                  <c:v>4.458333333333333</c:v>
                </c:pt>
                <c:pt idx="9">
                  <c:v>3.9375</c:v>
                </c:pt>
                <c:pt idx="10">
                  <c:v>3.75</c:v>
                </c:pt>
                <c:pt idx="11">
                  <c:v>3.4375</c:v>
                </c:pt>
                <c:pt idx="12">
                  <c:v>4.270833333333333</c:v>
                </c:pt>
                <c:pt idx="13">
                  <c:v>3.0425531914893615</c:v>
                </c:pt>
                <c:pt idx="14">
                  <c:v>2.6</c:v>
                </c:pt>
                <c:pt idx="15">
                  <c:v>2.16</c:v>
                </c:pt>
                <c:pt idx="16">
                  <c:v>2.7037037037037037</c:v>
                </c:pt>
                <c:pt idx="17">
                  <c:v>1.4166666666666667</c:v>
                </c:pt>
                <c:pt idx="18">
                  <c:v>1.1666666666666667</c:v>
                </c:pt>
                <c:pt idx="19">
                  <c:v>2.1041666666666665</c:v>
                </c:pt>
                <c:pt idx="20">
                  <c:v>1.0416666666666667</c:v>
                </c:pt>
                <c:pt idx="21">
                  <c:v>2.0625</c:v>
                </c:pt>
                <c:pt idx="22">
                  <c:v>2.0833333333333335</c:v>
                </c:pt>
                <c:pt idx="23">
                  <c:v>1.0416666666666667</c:v>
                </c:pt>
                <c:pt idx="24">
                  <c:v>2.3958333333333335</c:v>
                </c:pt>
              </c:numCache>
            </c:numRef>
          </c:val>
          <c:extLst>
            <c:ext xmlns:c15="http://schemas.microsoft.com/office/drawing/2012/chart" uri="{02D57815-91ED-43cb-92C2-25804820EDAC}">
              <c15:datalabelsRange>
                <c15:f>graph_question_average!$C$9:$AA$9</c15:f>
                <c15:dlblRangeCache>
                  <c:ptCount val="25"/>
                  <c:pt idx="0">
                    <c:v>1,14</c:v>
                  </c:pt>
                  <c:pt idx="1">
                    <c:v>1,10</c:v>
                  </c:pt>
                  <c:pt idx="2">
                    <c:v>0,82</c:v>
                  </c:pt>
                  <c:pt idx="3">
                    <c:v>0,84</c:v>
                  </c:pt>
                  <c:pt idx="4">
                    <c:v>0,88</c:v>
                  </c:pt>
                  <c:pt idx="5">
                    <c:v>0,87</c:v>
                  </c:pt>
                  <c:pt idx="6">
                    <c:v>0,64</c:v>
                  </c:pt>
                  <c:pt idx="7">
                    <c:v>0,60</c:v>
                  </c:pt>
                  <c:pt idx="8">
                    <c:v>0,74</c:v>
                  </c:pt>
                  <c:pt idx="9">
                    <c:v>1,00</c:v>
                  </c:pt>
                  <c:pt idx="10">
                    <c:v>1,02</c:v>
                  </c:pt>
                  <c:pt idx="11">
                    <c:v>1,01</c:v>
                  </c:pt>
                  <c:pt idx="12">
                    <c:v>0,82</c:v>
                  </c:pt>
                  <c:pt idx="13">
                    <c:v>0,59</c:v>
                  </c:pt>
                  <c:pt idx="14">
                    <c:v>1,22</c:v>
                  </c:pt>
                  <c:pt idx="15">
                    <c:v>1,21</c:v>
                  </c:pt>
                  <c:pt idx="16">
                    <c:v>0,99</c:v>
                  </c:pt>
                  <c:pt idx="17">
                    <c:v>0,92</c:v>
                  </c:pt>
                  <c:pt idx="18">
                    <c:v>0,63</c:v>
                  </c:pt>
                  <c:pt idx="19">
                    <c:v>1,02</c:v>
                  </c:pt>
                  <c:pt idx="20">
                    <c:v>0,29</c:v>
                  </c:pt>
                  <c:pt idx="21">
                    <c:v>0,89</c:v>
                  </c:pt>
                  <c:pt idx="22">
                    <c:v>1,16</c:v>
                  </c:pt>
                  <c:pt idx="23">
                    <c:v>0,29</c:v>
                  </c:pt>
                  <c:pt idx="24">
                    <c:v>0,82</c:v>
                  </c:pt>
                </c15:dlblRangeCache>
              </c15:datalabelsRange>
            </c:ext>
            <c:ext xmlns:c16="http://schemas.microsoft.com/office/drawing/2014/chart" uri="{C3380CC4-5D6E-409C-BE32-E72D297353CC}">
              <c16:uniqueId val="{00000003-700F-4E8A-B264-2349433388DA}"/>
            </c:ext>
          </c:extLst>
        </c:ser>
        <c:dLbls>
          <c:dLblPos val="outEnd"/>
          <c:showLegendKey val="0"/>
          <c:showVal val="1"/>
          <c:showCatName val="0"/>
          <c:showSerName val="0"/>
          <c:showPercent val="0"/>
          <c:showBubbleSize val="0"/>
        </c:dLbls>
        <c:gapWidth val="219"/>
        <c:overlap val="-27"/>
        <c:axId val="1069669088"/>
        <c:axId val="688120320"/>
        <c:extLst>
          <c:ext xmlns:c15="http://schemas.microsoft.com/office/drawing/2012/chart" uri="{02D57815-91ED-43cb-92C2-25804820EDAC}">
            <c15:filteredBarSeries>
              <c15:ser>
                <c:idx val="1"/>
                <c:order val="1"/>
                <c:tx>
                  <c:strRef>
                    <c:extLst>
                      <c:ext uri="{02D57815-91ED-43cb-92C2-25804820EDAC}">
                        <c15:formulaRef>
                          <c15:sqref>graph_question_average!$B$9</c15:sqref>
                        </c15:formulaRef>
                      </c:ext>
                    </c:extLst>
                    <c:strCache>
                      <c:ptCount val="1"/>
                      <c:pt idx="0">
                        <c:v>std</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graph_question_average!$C$7:$AA$7</c15:sqref>
                        </c15:formulaRef>
                      </c:ext>
                    </c:extLst>
                    <c:strCache>
                      <c:ptCount val="25"/>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strCache>
                  </c:strRef>
                </c:cat>
                <c:val>
                  <c:numRef>
                    <c:extLst>
                      <c:ext uri="{02D57815-91ED-43cb-92C2-25804820EDAC}">
                        <c15:formulaRef>
                          <c15:sqref>graph_question_average!$C$9:$AA$9</c15:sqref>
                        </c15:formulaRef>
                      </c:ext>
                    </c:extLst>
                    <c:numCache>
                      <c:formatCode>0.00</c:formatCode>
                      <c:ptCount val="25"/>
                      <c:pt idx="0">
                        <c:v>1.1361250555480111</c:v>
                      </c:pt>
                      <c:pt idx="1">
                        <c:v>1.1012565357112796</c:v>
                      </c:pt>
                      <c:pt idx="2">
                        <c:v>0.82486835399258718</c:v>
                      </c:pt>
                      <c:pt idx="3">
                        <c:v>0.84399211787519757</c:v>
                      </c:pt>
                      <c:pt idx="4">
                        <c:v>0.88099516586046189</c:v>
                      </c:pt>
                      <c:pt idx="5">
                        <c:v>0.87112872081395043</c:v>
                      </c:pt>
                      <c:pt idx="6">
                        <c:v>0.63546208127439663</c:v>
                      </c:pt>
                      <c:pt idx="7">
                        <c:v>0.60104813887760156</c:v>
                      </c:pt>
                      <c:pt idx="8">
                        <c:v>0.74257554478740495</c:v>
                      </c:pt>
                      <c:pt idx="9">
                        <c:v>0.99800332579499573</c:v>
                      </c:pt>
                      <c:pt idx="10">
                        <c:v>1.021054940485262</c:v>
                      </c:pt>
                      <c:pt idx="11">
                        <c:v>1.0086065804081159</c:v>
                      </c:pt>
                      <c:pt idx="12">
                        <c:v>0.81839446695716267</c:v>
                      </c:pt>
                      <c:pt idx="13">
                        <c:v>0.58819720179214952</c:v>
                      </c:pt>
                      <c:pt idx="14">
                        <c:v>1.2247448713915889</c:v>
                      </c:pt>
                      <c:pt idx="15">
                        <c:v>1.2138094304022082</c:v>
                      </c:pt>
                      <c:pt idx="16">
                        <c:v>0.99285194553618383</c:v>
                      </c:pt>
                      <c:pt idx="17">
                        <c:v>0.91867928637020757</c:v>
                      </c:pt>
                      <c:pt idx="18">
                        <c:v>0.63020879124888118</c:v>
                      </c:pt>
                      <c:pt idx="19">
                        <c:v>1.0156139183792596</c:v>
                      </c:pt>
                      <c:pt idx="20">
                        <c:v>0.28867513459481281</c:v>
                      </c:pt>
                      <c:pt idx="21">
                        <c:v>0.88501111905504548</c:v>
                      </c:pt>
                      <c:pt idx="22">
                        <c:v>1.1638771108145456</c:v>
                      </c:pt>
                      <c:pt idx="23">
                        <c:v>0.28867513459481281</c:v>
                      </c:pt>
                      <c:pt idx="24">
                        <c:v>0.81839446695716345</c:v>
                      </c:pt>
                    </c:numCache>
                  </c:numRef>
                </c:val>
                <c:extLst>
                  <c:ext xmlns:c16="http://schemas.microsoft.com/office/drawing/2014/chart" uri="{C3380CC4-5D6E-409C-BE32-E72D297353CC}">
                    <c16:uniqueId val="{00000004-700F-4E8A-B264-2349433388DA}"/>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graph_question_average!$B$10</c15:sqref>
                        </c15:formulaRef>
                      </c:ext>
                    </c:extLst>
                    <c:strCache>
                      <c:ptCount val="1"/>
                      <c:pt idx="0">
                        <c:v>label</c:v>
                      </c:pt>
                    </c:strCache>
                  </c:strRef>
                </c:tx>
                <c:spPr>
                  <a:solidFill>
                    <a:schemeClr val="dk1">
                      <a:tint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l-NL"/>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graph_question_average!$C$7:$AA$7</c15:sqref>
                        </c15:formulaRef>
                      </c:ext>
                    </c:extLst>
                    <c:strCache>
                      <c:ptCount val="25"/>
                      <c:pt idx="0">
                        <c:v>Q1</c:v>
                      </c:pt>
                      <c:pt idx="1">
                        <c:v>Q2</c:v>
                      </c:pt>
                      <c:pt idx="2">
                        <c:v>Q3</c:v>
                      </c:pt>
                      <c:pt idx="3">
                        <c:v>Q4</c:v>
                      </c:pt>
                      <c:pt idx="4">
                        <c:v>Q5</c:v>
                      </c:pt>
                      <c:pt idx="5">
                        <c:v>Q6</c:v>
                      </c:pt>
                      <c:pt idx="6">
                        <c:v>Q7</c:v>
                      </c:pt>
                      <c:pt idx="7">
                        <c:v>Q8</c:v>
                      </c:pt>
                      <c:pt idx="8">
                        <c:v>Q9</c:v>
                      </c:pt>
                      <c:pt idx="9">
                        <c:v>Q10</c:v>
                      </c:pt>
                      <c:pt idx="10">
                        <c:v>Q11</c:v>
                      </c:pt>
                      <c:pt idx="11">
                        <c:v>Q12</c:v>
                      </c:pt>
                      <c:pt idx="12">
                        <c:v>Q13</c:v>
                      </c:pt>
                      <c:pt idx="13">
                        <c:v>Q14</c:v>
                      </c:pt>
                      <c:pt idx="14">
                        <c:v>Q15</c:v>
                      </c:pt>
                      <c:pt idx="15">
                        <c:v>Q16</c:v>
                      </c:pt>
                      <c:pt idx="16">
                        <c:v>Q17</c:v>
                      </c:pt>
                      <c:pt idx="17">
                        <c:v>Q18</c:v>
                      </c:pt>
                      <c:pt idx="18">
                        <c:v>Q19</c:v>
                      </c:pt>
                      <c:pt idx="19">
                        <c:v>Q20</c:v>
                      </c:pt>
                      <c:pt idx="20">
                        <c:v>Q21</c:v>
                      </c:pt>
                      <c:pt idx="21">
                        <c:v>Q22</c:v>
                      </c:pt>
                      <c:pt idx="22">
                        <c:v>Q23</c:v>
                      </c:pt>
                      <c:pt idx="23">
                        <c:v>Q24</c:v>
                      </c:pt>
                      <c:pt idx="24">
                        <c:v>Q25</c:v>
                      </c:pt>
                    </c:strCache>
                  </c:strRef>
                </c:cat>
                <c:val>
                  <c:numRef>
                    <c:extLst xmlns:c15="http://schemas.microsoft.com/office/drawing/2012/chart">
                      <c:ext xmlns:c15="http://schemas.microsoft.com/office/drawing/2012/chart" uri="{02D57815-91ED-43cb-92C2-25804820EDAC}">
                        <c15:formulaRef>
                          <c15:sqref>graph_question_average!$C$10:$AA$10</c15:sqref>
                        </c15:formulaRef>
                      </c:ext>
                    </c:extLst>
                    <c:numCache>
                      <c:formatCode>General</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extLst xmlns:c15="http://schemas.microsoft.com/office/drawing/2012/chart">
                  <c:ext xmlns:c16="http://schemas.microsoft.com/office/drawing/2014/chart" uri="{C3380CC4-5D6E-409C-BE32-E72D297353CC}">
                    <c16:uniqueId val="{00000005-700F-4E8A-B264-2349433388DA}"/>
                  </c:ext>
                </c:extLst>
              </c15:ser>
            </c15:filteredBarSeries>
          </c:ext>
        </c:extLst>
      </c:barChart>
      <c:catAx>
        <c:axId val="1069669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Question 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N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688120320"/>
        <c:crosses val="autoZero"/>
        <c:auto val="1"/>
        <c:lblAlgn val="ctr"/>
        <c:lblOffset val="100"/>
        <c:noMultiLvlLbl val="0"/>
      </c:catAx>
      <c:valAx>
        <c:axId val="688120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NL"/>
                  <a:t>Average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l-NL"/>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06966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381000</xdr:colOff>
      <xdr:row>11</xdr:row>
      <xdr:rowOff>82550</xdr:rowOff>
    </xdr:from>
    <xdr:to>
      <xdr:col>18</xdr:col>
      <xdr:colOff>228600</xdr:colOff>
      <xdr:row>32</xdr:row>
      <xdr:rowOff>101600</xdr:rowOff>
    </xdr:to>
    <xdr:graphicFrame macro="">
      <xdr:nvGraphicFramePr>
        <xdr:cNvPr id="2" name="Grafiek 1">
          <a:extLst>
            <a:ext uri="{FF2B5EF4-FFF2-40B4-BE49-F238E27FC236}">
              <a16:creationId xmlns:a16="http://schemas.microsoft.com/office/drawing/2014/main" id="{110826C3-85AF-6594-3806-36BA31DBA1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F85"/>
  <sheetViews>
    <sheetView zoomScale="115" zoomScaleNormal="115" workbookViewId="0">
      <selection activeCell="F4" sqref="F4"/>
    </sheetView>
  </sheetViews>
  <sheetFormatPr defaultRowHeight="15" customHeight="1" x14ac:dyDescent="0.35"/>
  <cols>
    <col min="4" max="4" width="27.81640625" bestFit="1" customWidth="1"/>
    <col min="5" max="5" width="12.26953125" bestFit="1" customWidth="1"/>
    <col min="11" max="11" width="9.26953125" bestFit="1" customWidth="1"/>
    <col min="42" max="42" width="23.1796875" customWidth="1"/>
    <col min="43" max="43" width="5.81640625" customWidth="1"/>
    <col min="53" max="53" width="9" customWidth="1"/>
    <col min="54" max="54" width="10.7265625" bestFit="1" customWidth="1"/>
    <col min="57" max="57" width="28.7265625" bestFit="1" customWidth="1"/>
    <col min="58" max="58" width="36.54296875" bestFit="1" customWidth="1"/>
  </cols>
  <sheetData>
    <row r="1" spans="1:57" ht="14.5" x14ac:dyDescent="0.35">
      <c r="A1" s="23"/>
      <c r="B1" s="21"/>
      <c r="C1" s="21"/>
      <c r="D1" s="21"/>
      <c r="E1" s="23" t="s">
        <v>0</v>
      </c>
      <c r="F1" s="21"/>
      <c r="G1" s="21"/>
      <c r="H1" s="21"/>
      <c r="I1" s="22"/>
      <c r="J1" s="19"/>
      <c r="K1" s="19"/>
      <c r="L1" s="21" t="s">
        <v>1</v>
      </c>
      <c r="M1" s="21"/>
      <c r="N1" s="21"/>
      <c r="O1" s="22"/>
      <c r="P1" s="19"/>
      <c r="Q1" s="19"/>
      <c r="R1" s="21" t="s">
        <v>2</v>
      </c>
      <c r="S1" s="21"/>
      <c r="T1" s="22"/>
      <c r="U1" s="19"/>
      <c r="V1" s="19"/>
      <c r="W1" s="21" t="s">
        <v>3</v>
      </c>
      <c r="X1" s="21"/>
      <c r="Y1" s="21"/>
      <c r="Z1" s="21"/>
      <c r="AA1" s="21"/>
      <c r="AB1" s="22"/>
      <c r="AC1" s="19"/>
      <c r="AD1" s="19"/>
      <c r="AE1" s="21" t="s">
        <v>4</v>
      </c>
      <c r="AF1" s="21"/>
      <c r="AG1" s="22"/>
      <c r="AH1" s="19"/>
      <c r="AI1" s="19"/>
      <c r="AJ1" s="21" t="s">
        <v>5</v>
      </c>
      <c r="AK1" s="21"/>
      <c r="AL1" s="21"/>
      <c r="AM1" s="22"/>
      <c r="AN1" s="19"/>
      <c r="AO1" s="19"/>
      <c r="AP1" s="21"/>
      <c r="AQ1" s="21"/>
      <c r="AR1" s="22"/>
      <c r="AS1" s="19"/>
    </row>
    <row r="2" spans="1:57" ht="72.5" x14ac:dyDescent="0.35">
      <c r="A2" s="1" t="s">
        <v>6</v>
      </c>
      <c r="B2" s="2" t="s">
        <v>7</v>
      </c>
      <c r="C2" s="2" t="s">
        <v>8</v>
      </c>
      <c r="D2" s="2" t="s">
        <v>9</v>
      </c>
      <c r="E2" s="1" t="s">
        <v>10</v>
      </c>
      <c r="F2" s="2" t="s">
        <v>11</v>
      </c>
      <c r="G2" s="2" t="s">
        <v>12</v>
      </c>
      <c r="H2" s="2" t="s">
        <v>13</v>
      </c>
      <c r="I2" s="2" t="s">
        <v>14</v>
      </c>
      <c r="J2" s="2" t="s">
        <v>15</v>
      </c>
      <c r="K2" s="2" t="s">
        <v>16</v>
      </c>
      <c r="L2" s="2" t="s">
        <v>17</v>
      </c>
      <c r="M2" s="2" t="s">
        <v>18</v>
      </c>
      <c r="N2" s="2" t="s">
        <v>19</v>
      </c>
      <c r="O2" s="2" t="s">
        <v>20</v>
      </c>
      <c r="P2" s="2" t="s">
        <v>15</v>
      </c>
      <c r="Q2" s="2" t="s">
        <v>16</v>
      </c>
      <c r="R2" s="2" t="s">
        <v>21</v>
      </c>
      <c r="S2" s="2" t="s">
        <v>22</v>
      </c>
      <c r="T2" s="2" t="s">
        <v>23</v>
      </c>
      <c r="U2" s="2" t="s">
        <v>15</v>
      </c>
      <c r="V2" s="2" t="s">
        <v>16</v>
      </c>
      <c r="W2" s="2" t="s">
        <v>24</v>
      </c>
      <c r="X2" s="2" t="s">
        <v>25</v>
      </c>
      <c r="Y2" s="2" t="s">
        <v>26</v>
      </c>
      <c r="Z2" s="2" t="s">
        <v>27</v>
      </c>
      <c r="AA2" s="2" t="s">
        <v>28</v>
      </c>
      <c r="AB2" s="2" t="s">
        <v>29</v>
      </c>
      <c r="AC2" s="2" t="s">
        <v>15</v>
      </c>
      <c r="AD2" s="2" t="s">
        <v>16</v>
      </c>
      <c r="AE2" s="2" t="s">
        <v>30</v>
      </c>
      <c r="AF2" s="2" t="s">
        <v>31</v>
      </c>
      <c r="AG2" s="2" t="s">
        <v>32</v>
      </c>
      <c r="AH2" s="2" t="s">
        <v>15</v>
      </c>
      <c r="AI2" s="2" t="s">
        <v>16</v>
      </c>
      <c r="AJ2" s="2" t="s">
        <v>33</v>
      </c>
      <c r="AK2" s="2" t="s">
        <v>34</v>
      </c>
      <c r="AL2" s="2" t="s">
        <v>35</v>
      </c>
      <c r="AM2" s="2" t="s">
        <v>36</v>
      </c>
      <c r="AN2" s="2" t="s">
        <v>15</v>
      </c>
      <c r="AO2" s="2" t="s">
        <v>16</v>
      </c>
      <c r="AP2" s="2" t="s">
        <v>37</v>
      </c>
      <c r="AQ2" s="2" t="s">
        <v>38</v>
      </c>
      <c r="AR2" s="2" t="s">
        <v>39</v>
      </c>
      <c r="AS2" s="2" t="s">
        <v>40</v>
      </c>
      <c r="AT2" s="14" t="s">
        <v>41</v>
      </c>
      <c r="AU2" s="14" t="s">
        <v>40</v>
      </c>
      <c r="AV2" s="14" t="s">
        <v>42</v>
      </c>
      <c r="AW2" s="14" t="s">
        <v>40</v>
      </c>
      <c r="AX2" s="14" t="s">
        <v>43</v>
      </c>
      <c r="AY2" s="14" t="s">
        <v>40</v>
      </c>
      <c r="AZ2" s="14" t="s">
        <v>44</v>
      </c>
      <c r="BA2" s="14" t="s">
        <v>45</v>
      </c>
      <c r="BB2" s="14" t="s">
        <v>46</v>
      </c>
      <c r="BE2" t="s">
        <v>47</v>
      </c>
    </row>
    <row r="3" spans="1:57" ht="14.5" x14ac:dyDescent="0.35">
      <c r="A3" t="s">
        <v>48</v>
      </c>
      <c r="B3">
        <v>4.4000000000000004</v>
      </c>
      <c r="D3" t="s">
        <v>49</v>
      </c>
      <c r="E3">
        <v>2</v>
      </c>
      <c r="F3">
        <v>2</v>
      </c>
      <c r="G3">
        <v>4</v>
      </c>
      <c r="H3">
        <v>4</v>
      </c>
      <c r="I3">
        <v>5</v>
      </c>
      <c r="J3">
        <f t="shared" ref="J3:J9" si="0">SUM(E3:I3)</f>
        <v>17</v>
      </c>
      <c r="K3" s="13">
        <f t="shared" ref="K3:K9" si="1">AVERAGE(E3:I3)</f>
        <v>3.4</v>
      </c>
      <c r="L3">
        <v>5</v>
      </c>
      <c r="M3">
        <v>4</v>
      </c>
      <c r="N3">
        <v>5</v>
      </c>
      <c r="O3">
        <v>5</v>
      </c>
      <c r="P3">
        <f t="shared" ref="P3:P9" si="2">SUM(L3:O3)</f>
        <v>19</v>
      </c>
      <c r="Q3" s="10">
        <f t="shared" ref="Q3:Q9" si="3">AVERAGE(L3:O3)</f>
        <v>4.75</v>
      </c>
      <c r="R3">
        <v>5</v>
      </c>
      <c r="S3">
        <v>4</v>
      </c>
      <c r="T3">
        <v>4</v>
      </c>
      <c r="U3">
        <f t="shared" ref="U3:U9" si="4">SUM(R3:T3)</f>
        <v>13</v>
      </c>
      <c r="V3" s="10">
        <f t="shared" ref="V3:V9" si="5">AVERAGE(R3:T3)</f>
        <v>4.333333333333333</v>
      </c>
      <c r="W3">
        <v>5</v>
      </c>
      <c r="X3">
        <v>3</v>
      </c>
      <c r="Y3">
        <v>5</v>
      </c>
      <c r="Z3">
        <v>4</v>
      </c>
      <c r="AA3">
        <v>5</v>
      </c>
      <c r="AB3">
        <v>3</v>
      </c>
      <c r="AC3">
        <f t="shared" ref="AC3:AC9" si="6">SUM(W3:AB3)</f>
        <v>25</v>
      </c>
      <c r="AD3" s="10">
        <f t="shared" ref="AD3:AD9" si="7">AVERAGE(W3:AB3)</f>
        <v>4.166666666666667</v>
      </c>
      <c r="AE3">
        <v>2</v>
      </c>
      <c r="AF3">
        <v>5</v>
      </c>
      <c r="AG3">
        <v>1</v>
      </c>
      <c r="AH3">
        <f t="shared" ref="AH3:AH9" si="8">SUM(AE3:AG3)</f>
        <v>8</v>
      </c>
      <c r="AI3" s="10">
        <f t="shared" ref="AI3:AI9" si="9">AVERAGE(AE3:AG3)</f>
        <v>2.6666666666666665</v>
      </c>
      <c r="AJ3">
        <v>4</v>
      </c>
      <c r="AK3">
        <v>4</v>
      </c>
      <c r="AL3">
        <v>3</v>
      </c>
      <c r="AM3">
        <v>4</v>
      </c>
      <c r="AN3">
        <f t="shared" ref="AN3:AN9" si="10">SUM(AJ3:AM3)</f>
        <v>15</v>
      </c>
      <c r="AO3" s="10">
        <f t="shared" ref="AO3:AO9" si="11">AVERAGE(AJ3:AM3)</f>
        <v>3.75</v>
      </c>
      <c r="AP3" t="s">
        <v>50</v>
      </c>
      <c r="AQ3" t="s">
        <v>51</v>
      </c>
      <c r="AR3" s="10">
        <f t="shared" ref="AR3:AR9" si="12">AVERAGE(E3:I3,L3:O3,R3:T3,W3:AB3,AE3:AG3)</f>
        <v>3.9047619047619047</v>
      </c>
      <c r="AS3" s="10">
        <f t="shared" ref="AS3:AS9" si="13">_xlfn.STDEV.S(E3:I3,L3:O3,R3:T3,W3:AB3)</f>
        <v>1.022619985129827</v>
      </c>
      <c r="AT3" s="10">
        <f t="shared" ref="AT3:AT9" si="14">AVERAGE(AE3:AG3)</f>
        <v>2.6666666666666665</v>
      </c>
      <c r="AU3" s="10">
        <f t="shared" ref="AU3:AU9" si="15">_xlfn.STDEV.S(AE3:AG3)</f>
        <v>2.0816659994661331</v>
      </c>
      <c r="AV3" s="10">
        <f t="shared" ref="AV3:AV9" si="16">AVERAGE(AJ3:AM3)</f>
        <v>3.75</v>
      </c>
      <c r="AW3" s="10">
        <f t="shared" ref="AW3:AW9" si="17">_xlfn.STDEV.S(AJ3:AM3)</f>
        <v>0.5</v>
      </c>
      <c r="AX3" s="10">
        <f>AVERAGE(AR3,AT3,AV3)</f>
        <v>3.4404761904761902</v>
      </c>
      <c r="AY3" s="10">
        <f>_xlfn.STDEV.S(E3:I3,L3:O3,R3:T3,W3:AB3,AE3:AG3,AJ3:AM3)</f>
        <v>1.1661903789690597</v>
      </c>
      <c r="AZ3">
        <f t="shared" ref="AZ3:AZ9" si="18">_xlfn.RANK.AVG(AR3, $AR$3:$AR$76, 1)</f>
        <v>48</v>
      </c>
      <c r="BA3">
        <f t="shared" ref="BA3:BA9" si="19">_xlfn.RANK.AVG(AT3, $AT$3:$AT$76, 1)</f>
        <v>47</v>
      </c>
      <c r="BB3">
        <f t="shared" ref="BB3:BB9" si="20">_xlfn.RANK.AVG(AV3, $AV$3:$AV$76, 1)</f>
        <v>48</v>
      </c>
    </row>
    <row r="4" spans="1:57" ht="14.5" x14ac:dyDescent="0.35">
      <c r="A4" t="s">
        <v>52</v>
      </c>
      <c r="B4" t="s">
        <v>53</v>
      </c>
      <c r="C4" t="s">
        <v>53</v>
      </c>
      <c r="D4" t="s">
        <v>54</v>
      </c>
      <c r="E4">
        <v>2</v>
      </c>
      <c r="F4">
        <v>2</v>
      </c>
      <c r="G4">
        <v>2</v>
      </c>
      <c r="H4">
        <v>3</v>
      </c>
      <c r="I4">
        <v>5</v>
      </c>
      <c r="J4">
        <f t="shared" si="0"/>
        <v>14</v>
      </c>
      <c r="K4" s="13">
        <f t="shared" si="1"/>
        <v>2.8</v>
      </c>
      <c r="L4">
        <v>4</v>
      </c>
      <c r="M4">
        <v>4</v>
      </c>
      <c r="N4">
        <v>4</v>
      </c>
      <c r="O4">
        <v>5</v>
      </c>
      <c r="P4">
        <f t="shared" si="2"/>
        <v>17</v>
      </c>
      <c r="Q4" s="10">
        <f t="shared" si="3"/>
        <v>4.25</v>
      </c>
      <c r="R4">
        <v>5</v>
      </c>
      <c r="S4">
        <v>5</v>
      </c>
      <c r="T4">
        <v>5</v>
      </c>
      <c r="U4">
        <f t="shared" si="4"/>
        <v>15</v>
      </c>
      <c r="V4" s="10">
        <f t="shared" si="5"/>
        <v>5</v>
      </c>
      <c r="W4">
        <v>4</v>
      </c>
      <c r="X4">
        <v>3</v>
      </c>
      <c r="Y4">
        <v>5</v>
      </c>
      <c r="Z4">
        <v>3</v>
      </c>
      <c r="AA4">
        <v>3</v>
      </c>
      <c r="AB4">
        <v>3</v>
      </c>
      <c r="AC4">
        <f t="shared" si="6"/>
        <v>21</v>
      </c>
      <c r="AD4" s="10">
        <f t="shared" si="7"/>
        <v>3.5</v>
      </c>
      <c r="AE4">
        <v>4</v>
      </c>
      <c r="AF4">
        <v>5</v>
      </c>
      <c r="AG4">
        <v>1</v>
      </c>
      <c r="AH4">
        <f t="shared" si="8"/>
        <v>10</v>
      </c>
      <c r="AI4" s="10">
        <f t="shared" si="9"/>
        <v>3.3333333333333335</v>
      </c>
      <c r="AJ4">
        <v>2</v>
      </c>
      <c r="AK4">
        <v>2</v>
      </c>
      <c r="AL4">
        <v>1</v>
      </c>
      <c r="AM4">
        <v>3</v>
      </c>
      <c r="AN4">
        <f t="shared" si="10"/>
        <v>8</v>
      </c>
      <c r="AO4" s="10">
        <f t="shared" si="11"/>
        <v>2</v>
      </c>
      <c r="AP4" t="s">
        <v>55</v>
      </c>
      <c r="AQ4" t="s">
        <v>48</v>
      </c>
      <c r="AR4" s="10">
        <f t="shared" si="12"/>
        <v>3.6666666666666665</v>
      </c>
      <c r="AS4" s="10">
        <f t="shared" si="13"/>
        <v>1.1274936053323583</v>
      </c>
      <c r="AT4" s="10">
        <f t="shared" si="14"/>
        <v>3.3333333333333335</v>
      </c>
      <c r="AU4" s="10">
        <f t="shared" si="15"/>
        <v>2.0816659994661326</v>
      </c>
      <c r="AV4" s="10">
        <f t="shared" si="16"/>
        <v>2</v>
      </c>
      <c r="AW4" s="10">
        <f t="shared" si="17"/>
        <v>0.81649658092772603</v>
      </c>
      <c r="AX4" s="10">
        <f t="shared" ref="AX4:AX9" si="21">AVERAGE(AR4,AT4,AV4)</f>
        <v>3</v>
      </c>
      <c r="AY4" s="10">
        <f t="shared" ref="AY4:AY9" si="22">_xlfn.STDEV.S(E4:I4,L4:O4,R4:T4,W4:AB4,AE4:AG4,AJ4:AM4)</f>
        <v>1.3228756555322954</v>
      </c>
      <c r="AZ4">
        <f t="shared" si="18"/>
        <v>46</v>
      </c>
      <c r="BA4">
        <f t="shared" si="19"/>
        <v>48</v>
      </c>
      <c r="BB4">
        <f t="shared" si="20"/>
        <v>26</v>
      </c>
    </row>
    <row r="5" spans="1:57" ht="14.5" x14ac:dyDescent="0.35">
      <c r="A5" t="s">
        <v>48</v>
      </c>
      <c r="B5" t="s">
        <v>53</v>
      </c>
      <c r="D5" t="s">
        <v>56</v>
      </c>
      <c r="E5">
        <v>1</v>
      </c>
      <c r="F5">
        <v>1</v>
      </c>
      <c r="G5">
        <v>2</v>
      </c>
      <c r="H5">
        <v>2</v>
      </c>
      <c r="I5">
        <v>5</v>
      </c>
      <c r="J5">
        <f t="shared" si="0"/>
        <v>11</v>
      </c>
      <c r="K5" s="13">
        <f t="shared" si="1"/>
        <v>2.2000000000000002</v>
      </c>
      <c r="L5">
        <v>5</v>
      </c>
      <c r="M5">
        <v>4</v>
      </c>
      <c r="N5">
        <v>5</v>
      </c>
      <c r="O5">
        <v>5</v>
      </c>
      <c r="P5">
        <f t="shared" si="2"/>
        <v>19</v>
      </c>
      <c r="Q5" s="10">
        <f t="shared" si="3"/>
        <v>4.75</v>
      </c>
      <c r="R5">
        <v>5</v>
      </c>
      <c r="S5">
        <v>4</v>
      </c>
      <c r="T5">
        <v>3</v>
      </c>
      <c r="U5">
        <f t="shared" si="4"/>
        <v>12</v>
      </c>
      <c r="V5" s="10">
        <f t="shared" si="5"/>
        <v>4</v>
      </c>
      <c r="W5">
        <v>5</v>
      </c>
      <c r="X5">
        <v>3</v>
      </c>
      <c r="Y5">
        <v>4</v>
      </c>
      <c r="Z5">
        <v>4</v>
      </c>
      <c r="AA5" t="s">
        <v>53</v>
      </c>
      <c r="AB5">
        <v>3</v>
      </c>
      <c r="AC5">
        <f t="shared" si="6"/>
        <v>19</v>
      </c>
      <c r="AD5" s="10">
        <f t="shared" si="7"/>
        <v>3.8</v>
      </c>
      <c r="AE5">
        <v>1</v>
      </c>
      <c r="AF5">
        <v>5</v>
      </c>
      <c r="AG5">
        <v>1</v>
      </c>
      <c r="AH5">
        <f t="shared" si="8"/>
        <v>7</v>
      </c>
      <c r="AI5" s="10">
        <f t="shared" si="9"/>
        <v>2.3333333333333335</v>
      </c>
      <c r="AJ5">
        <v>3</v>
      </c>
      <c r="AK5">
        <v>2</v>
      </c>
      <c r="AL5">
        <v>1</v>
      </c>
      <c r="AM5">
        <v>3</v>
      </c>
      <c r="AN5">
        <f t="shared" si="10"/>
        <v>9</v>
      </c>
      <c r="AO5" s="10">
        <f t="shared" si="11"/>
        <v>2.25</v>
      </c>
      <c r="AP5" t="s">
        <v>57</v>
      </c>
      <c r="AQ5" t="s">
        <v>48</v>
      </c>
      <c r="AR5" s="10">
        <f t="shared" si="12"/>
        <v>3.4</v>
      </c>
      <c r="AS5" s="10">
        <f t="shared" si="13"/>
        <v>1.4168108346481796</v>
      </c>
      <c r="AT5" s="10">
        <f t="shared" si="14"/>
        <v>2.3333333333333335</v>
      </c>
      <c r="AU5" s="10">
        <f t="shared" si="15"/>
        <v>2.3094010767585034</v>
      </c>
      <c r="AV5" s="10">
        <f t="shared" si="16"/>
        <v>2.25</v>
      </c>
      <c r="AW5" s="10">
        <f t="shared" si="17"/>
        <v>0.9574271077563381</v>
      </c>
      <c r="AX5" s="10">
        <f t="shared" si="21"/>
        <v>2.661111111111111</v>
      </c>
      <c r="AY5" s="10">
        <f t="shared" si="22"/>
        <v>1.5316704909195136</v>
      </c>
      <c r="AZ5">
        <f t="shared" si="18"/>
        <v>42</v>
      </c>
      <c r="BA5">
        <f t="shared" si="19"/>
        <v>46</v>
      </c>
      <c r="BB5">
        <f t="shared" si="20"/>
        <v>34</v>
      </c>
    </row>
    <row r="6" spans="1:57" ht="14.5" x14ac:dyDescent="0.35">
      <c r="A6" t="s">
        <v>58</v>
      </c>
      <c r="C6" t="s">
        <v>53</v>
      </c>
      <c r="D6" t="s">
        <v>59</v>
      </c>
      <c r="E6">
        <v>3</v>
      </c>
      <c r="F6">
        <v>3</v>
      </c>
      <c r="G6">
        <v>3</v>
      </c>
      <c r="H6">
        <v>3</v>
      </c>
      <c r="I6">
        <v>5</v>
      </c>
      <c r="J6">
        <f t="shared" si="0"/>
        <v>17</v>
      </c>
      <c r="K6" s="13">
        <f t="shared" si="1"/>
        <v>3.4</v>
      </c>
      <c r="L6">
        <v>5</v>
      </c>
      <c r="M6">
        <v>4</v>
      </c>
      <c r="N6">
        <v>5</v>
      </c>
      <c r="O6">
        <v>5</v>
      </c>
      <c r="P6">
        <f t="shared" si="2"/>
        <v>19</v>
      </c>
      <c r="Q6" s="10">
        <f t="shared" si="3"/>
        <v>4.75</v>
      </c>
      <c r="R6">
        <v>5</v>
      </c>
      <c r="S6">
        <v>5</v>
      </c>
      <c r="T6">
        <v>4</v>
      </c>
      <c r="U6">
        <f t="shared" si="4"/>
        <v>14</v>
      </c>
      <c r="V6" s="10">
        <f t="shared" si="5"/>
        <v>4.666666666666667</v>
      </c>
      <c r="W6">
        <v>5</v>
      </c>
      <c r="X6">
        <v>4</v>
      </c>
      <c r="Y6">
        <v>3</v>
      </c>
      <c r="Z6">
        <v>1</v>
      </c>
      <c r="AA6">
        <v>3</v>
      </c>
      <c r="AB6">
        <v>1</v>
      </c>
      <c r="AC6">
        <f t="shared" si="6"/>
        <v>17</v>
      </c>
      <c r="AD6" s="10">
        <f t="shared" si="7"/>
        <v>2.8333333333333335</v>
      </c>
      <c r="AE6">
        <v>1</v>
      </c>
      <c r="AF6">
        <v>2</v>
      </c>
      <c r="AG6">
        <v>1</v>
      </c>
      <c r="AH6">
        <f t="shared" si="8"/>
        <v>4</v>
      </c>
      <c r="AI6" s="10">
        <f t="shared" si="9"/>
        <v>1.3333333333333333</v>
      </c>
      <c r="AJ6">
        <v>3</v>
      </c>
      <c r="AK6">
        <v>5</v>
      </c>
      <c r="AL6">
        <v>1</v>
      </c>
      <c r="AM6">
        <v>3</v>
      </c>
      <c r="AN6">
        <f t="shared" si="10"/>
        <v>12</v>
      </c>
      <c r="AO6" s="10">
        <f t="shared" si="11"/>
        <v>3</v>
      </c>
      <c r="AP6" t="s">
        <v>60</v>
      </c>
      <c r="AQ6" t="s">
        <v>61</v>
      </c>
      <c r="AR6" s="10">
        <f t="shared" si="12"/>
        <v>3.3809523809523809</v>
      </c>
      <c r="AS6" s="10">
        <f t="shared" si="13"/>
        <v>1.3197840980097757</v>
      </c>
      <c r="AT6" s="10">
        <f t="shared" si="14"/>
        <v>1.3333333333333333</v>
      </c>
      <c r="AU6" s="10">
        <f t="shared" si="15"/>
        <v>0.57735026918962584</v>
      </c>
      <c r="AV6" s="10">
        <f t="shared" si="16"/>
        <v>3</v>
      </c>
      <c r="AW6" s="10">
        <f t="shared" si="17"/>
        <v>1.6329931618554521</v>
      </c>
      <c r="AX6" s="10">
        <f t="shared" si="21"/>
        <v>2.5714285714285716</v>
      </c>
      <c r="AY6" s="10">
        <f t="shared" si="22"/>
        <v>1.4922019523732928</v>
      </c>
      <c r="AZ6">
        <f t="shared" si="18"/>
        <v>39</v>
      </c>
      <c r="BA6">
        <f t="shared" si="19"/>
        <v>23.5</v>
      </c>
      <c r="BB6">
        <f t="shared" si="20"/>
        <v>46</v>
      </c>
    </row>
    <row r="7" spans="1:57" ht="14.5" x14ac:dyDescent="0.35">
      <c r="A7" t="s">
        <v>52</v>
      </c>
      <c r="B7">
        <v>4.5</v>
      </c>
      <c r="C7">
        <v>4.5</v>
      </c>
      <c r="D7" t="s">
        <v>62</v>
      </c>
      <c r="E7">
        <v>3</v>
      </c>
      <c r="F7">
        <v>4</v>
      </c>
      <c r="G7">
        <v>4</v>
      </c>
      <c r="H7">
        <v>3</v>
      </c>
      <c r="I7">
        <v>4</v>
      </c>
      <c r="J7">
        <f t="shared" si="0"/>
        <v>18</v>
      </c>
      <c r="K7" s="13">
        <f t="shared" si="1"/>
        <v>3.6</v>
      </c>
      <c r="L7">
        <v>4</v>
      </c>
      <c r="M7">
        <v>4</v>
      </c>
      <c r="N7">
        <v>5</v>
      </c>
      <c r="O7">
        <v>4</v>
      </c>
      <c r="P7">
        <f t="shared" si="2"/>
        <v>17</v>
      </c>
      <c r="Q7" s="10">
        <f t="shared" si="3"/>
        <v>4.25</v>
      </c>
      <c r="R7">
        <v>4</v>
      </c>
      <c r="S7">
        <v>3</v>
      </c>
      <c r="T7">
        <v>3</v>
      </c>
      <c r="U7">
        <f t="shared" si="4"/>
        <v>10</v>
      </c>
      <c r="V7" s="10">
        <f t="shared" si="5"/>
        <v>3.3333333333333335</v>
      </c>
      <c r="W7">
        <v>5</v>
      </c>
      <c r="X7">
        <v>4</v>
      </c>
      <c r="Y7">
        <v>4</v>
      </c>
      <c r="Z7">
        <v>4</v>
      </c>
      <c r="AA7">
        <v>3</v>
      </c>
      <c r="AB7">
        <v>3</v>
      </c>
      <c r="AC7">
        <f t="shared" si="6"/>
        <v>23</v>
      </c>
      <c r="AD7" s="10">
        <f t="shared" si="7"/>
        <v>3.8333333333333335</v>
      </c>
      <c r="AE7">
        <v>1</v>
      </c>
      <c r="AF7">
        <v>4</v>
      </c>
      <c r="AG7">
        <v>1</v>
      </c>
      <c r="AH7">
        <f t="shared" si="8"/>
        <v>6</v>
      </c>
      <c r="AI7" s="10">
        <f t="shared" si="9"/>
        <v>2</v>
      </c>
      <c r="AJ7">
        <v>3</v>
      </c>
      <c r="AK7">
        <v>1</v>
      </c>
      <c r="AL7">
        <v>1</v>
      </c>
      <c r="AM7">
        <v>3</v>
      </c>
      <c r="AN7">
        <f t="shared" si="10"/>
        <v>8</v>
      </c>
      <c r="AO7" s="10">
        <f t="shared" si="11"/>
        <v>2</v>
      </c>
      <c r="AP7" t="s">
        <v>63</v>
      </c>
      <c r="AQ7" t="s">
        <v>61</v>
      </c>
      <c r="AR7" s="10">
        <f t="shared" si="12"/>
        <v>3.5238095238095237</v>
      </c>
      <c r="AS7" s="10">
        <f t="shared" si="13"/>
        <v>0.6467616667635534</v>
      </c>
      <c r="AT7" s="10">
        <f t="shared" si="14"/>
        <v>2</v>
      </c>
      <c r="AU7" s="10">
        <f t="shared" si="15"/>
        <v>1.7320508075688772</v>
      </c>
      <c r="AV7" s="10">
        <f t="shared" si="16"/>
        <v>2</v>
      </c>
      <c r="AW7" s="10">
        <f t="shared" si="17"/>
        <v>1.1547005383792515</v>
      </c>
      <c r="AX7" s="10">
        <f t="shared" si="21"/>
        <v>2.5079365079365079</v>
      </c>
      <c r="AY7" s="10">
        <f t="shared" si="22"/>
        <v>1.1733143937865365</v>
      </c>
      <c r="AZ7">
        <f t="shared" si="18"/>
        <v>45</v>
      </c>
      <c r="BA7">
        <f t="shared" si="19"/>
        <v>44</v>
      </c>
      <c r="BB7">
        <f t="shared" si="20"/>
        <v>26</v>
      </c>
    </row>
    <row r="8" spans="1:57" ht="14.5" x14ac:dyDescent="0.35">
      <c r="A8" t="s">
        <v>52</v>
      </c>
      <c r="B8">
        <v>4.3</v>
      </c>
      <c r="C8">
        <v>4.3</v>
      </c>
      <c r="D8" t="s">
        <v>64</v>
      </c>
      <c r="E8">
        <v>4</v>
      </c>
      <c r="F8">
        <v>4</v>
      </c>
      <c r="G8">
        <v>4</v>
      </c>
      <c r="H8">
        <v>3</v>
      </c>
      <c r="I8">
        <v>5</v>
      </c>
      <c r="J8">
        <f t="shared" si="0"/>
        <v>20</v>
      </c>
      <c r="K8" s="13">
        <f t="shared" si="1"/>
        <v>4</v>
      </c>
      <c r="L8">
        <v>5</v>
      </c>
      <c r="M8">
        <v>4</v>
      </c>
      <c r="N8">
        <v>4</v>
      </c>
      <c r="O8">
        <v>4</v>
      </c>
      <c r="P8">
        <f t="shared" si="2"/>
        <v>17</v>
      </c>
      <c r="Q8" s="10">
        <f t="shared" si="3"/>
        <v>4.25</v>
      </c>
      <c r="R8">
        <v>5</v>
      </c>
      <c r="S8">
        <v>5</v>
      </c>
      <c r="T8">
        <v>5</v>
      </c>
      <c r="U8">
        <f t="shared" si="4"/>
        <v>15</v>
      </c>
      <c r="V8" s="10">
        <f t="shared" si="5"/>
        <v>5</v>
      </c>
      <c r="W8">
        <v>5</v>
      </c>
      <c r="X8">
        <v>4</v>
      </c>
      <c r="Y8" t="s">
        <v>53</v>
      </c>
      <c r="Z8" t="s">
        <v>53</v>
      </c>
      <c r="AA8">
        <v>3</v>
      </c>
      <c r="AB8">
        <v>4</v>
      </c>
      <c r="AC8">
        <f t="shared" si="6"/>
        <v>16</v>
      </c>
      <c r="AD8" s="10">
        <f t="shared" si="7"/>
        <v>4</v>
      </c>
      <c r="AE8">
        <v>1</v>
      </c>
      <c r="AF8">
        <v>1</v>
      </c>
      <c r="AG8">
        <v>1</v>
      </c>
      <c r="AH8">
        <f t="shared" si="8"/>
        <v>3</v>
      </c>
      <c r="AI8" s="10">
        <f t="shared" si="9"/>
        <v>1</v>
      </c>
      <c r="AJ8">
        <v>3</v>
      </c>
      <c r="AK8">
        <v>4</v>
      </c>
      <c r="AL8">
        <v>1</v>
      </c>
      <c r="AM8">
        <v>3</v>
      </c>
      <c r="AN8">
        <f t="shared" si="10"/>
        <v>11</v>
      </c>
      <c r="AO8" s="10">
        <f t="shared" si="11"/>
        <v>2.75</v>
      </c>
      <c r="AP8" t="s">
        <v>65</v>
      </c>
      <c r="AQ8" t="s">
        <v>61</v>
      </c>
      <c r="AR8" s="10">
        <f t="shared" si="12"/>
        <v>3.736842105263158</v>
      </c>
      <c r="AS8" s="10">
        <f t="shared" si="13"/>
        <v>0.68313005106397318</v>
      </c>
      <c r="AT8" s="10">
        <f t="shared" si="14"/>
        <v>1</v>
      </c>
      <c r="AU8" s="10">
        <f t="shared" si="15"/>
        <v>0</v>
      </c>
      <c r="AV8" s="10">
        <f t="shared" si="16"/>
        <v>2.75</v>
      </c>
      <c r="AW8" s="10">
        <f t="shared" si="17"/>
        <v>1.2583057392117916</v>
      </c>
      <c r="AX8" s="10">
        <f t="shared" si="21"/>
        <v>2.4956140350877192</v>
      </c>
      <c r="AY8" s="10">
        <f t="shared" si="22"/>
        <v>1.3759653456432208</v>
      </c>
      <c r="AZ8">
        <f t="shared" si="18"/>
        <v>47</v>
      </c>
      <c r="BA8">
        <f t="shared" si="19"/>
        <v>5.5</v>
      </c>
      <c r="BB8">
        <f t="shared" si="20"/>
        <v>43.5</v>
      </c>
    </row>
    <row r="9" spans="1:57" ht="14.5" x14ac:dyDescent="0.35">
      <c r="A9" t="s">
        <v>58</v>
      </c>
      <c r="C9">
        <v>4.3</v>
      </c>
      <c r="D9" t="s">
        <v>66</v>
      </c>
      <c r="E9">
        <v>2</v>
      </c>
      <c r="F9">
        <v>3</v>
      </c>
      <c r="G9">
        <v>2</v>
      </c>
      <c r="H9">
        <v>3</v>
      </c>
      <c r="I9">
        <v>5</v>
      </c>
      <c r="J9">
        <f t="shared" si="0"/>
        <v>15</v>
      </c>
      <c r="K9" s="13">
        <f t="shared" si="1"/>
        <v>3</v>
      </c>
      <c r="L9">
        <v>4</v>
      </c>
      <c r="M9">
        <v>5</v>
      </c>
      <c r="N9">
        <v>5</v>
      </c>
      <c r="O9">
        <v>5</v>
      </c>
      <c r="P9">
        <f t="shared" si="2"/>
        <v>19</v>
      </c>
      <c r="Q9" s="10">
        <f t="shared" si="3"/>
        <v>4.75</v>
      </c>
      <c r="R9">
        <v>4</v>
      </c>
      <c r="S9">
        <v>3</v>
      </c>
      <c r="T9">
        <v>3</v>
      </c>
      <c r="U9">
        <f t="shared" si="4"/>
        <v>10</v>
      </c>
      <c r="V9" s="10">
        <f t="shared" si="5"/>
        <v>3.3333333333333335</v>
      </c>
      <c r="W9">
        <v>5</v>
      </c>
      <c r="X9">
        <v>4</v>
      </c>
      <c r="Y9">
        <v>2</v>
      </c>
      <c r="Z9">
        <v>3</v>
      </c>
      <c r="AA9" t="s">
        <v>53</v>
      </c>
      <c r="AB9">
        <v>1</v>
      </c>
      <c r="AC9">
        <f t="shared" si="6"/>
        <v>15</v>
      </c>
      <c r="AD9" s="10">
        <f t="shared" si="7"/>
        <v>3</v>
      </c>
      <c r="AE9">
        <v>1</v>
      </c>
      <c r="AF9">
        <v>2</v>
      </c>
      <c r="AG9">
        <v>1</v>
      </c>
      <c r="AH9">
        <f t="shared" si="8"/>
        <v>4</v>
      </c>
      <c r="AI9" s="10">
        <f t="shared" si="9"/>
        <v>1.3333333333333333</v>
      </c>
      <c r="AJ9">
        <v>3</v>
      </c>
      <c r="AK9">
        <v>5</v>
      </c>
      <c r="AL9">
        <v>1</v>
      </c>
      <c r="AM9">
        <v>3</v>
      </c>
      <c r="AN9">
        <f t="shared" si="10"/>
        <v>12</v>
      </c>
      <c r="AO9" s="10">
        <f t="shared" si="11"/>
        <v>3</v>
      </c>
      <c r="AP9" t="s">
        <v>67</v>
      </c>
      <c r="AQ9" t="s">
        <v>61</v>
      </c>
      <c r="AR9" s="10">
        <f t="shared" si="12"/>
        <v>3.15</v>
      </c>
      <c r="AS9" s="10">
        <f t="shared" si="13"/>
        <v>1.2805100086890935</v>
      </c>
      <c r="AT9" s="10">
        <f t="shared" si="14"/>
        <v>1.3333333333333333</v>
      </c>
      <c r="AU9" s="10">
        <f t="shared" si="15"/>
        <v>0.57735026918962584</v>
      </c>
      <c r="AV9" s="10">
        <f t="shared" si="16"/>
        <v>3</v>
      </c>
      <c r="AW9" s="10">
        <f t="shared" si="17"/>
        <v>1.6329931618554521</v>
      </c>
      <c r="AX9" s="10">
        <f t="shared" si="21"/>
        <v>2.4944444444444445</v>
      </c>
      <c r="AY9" s="10">
        <f t="shared" si="22"/>
        <v>1.4237885773679595</v>
      </c>
      <c r="AZ9">
        <f t="shared" si="18"/>
        <v>29</v>
      </c>
      <c r="BA9">
        <f t="shared" si="19"/>
        <v>23.5</v>
      </c>
      <c r="BB9">
        <f t="shared" si="20"/>
        <v>46</v>
      </c>
    </row>
    <row r="10" spans="1:57" ht="14.5" hidden="1" x14ac:dyDescent="0.35">
      <c r="A10" t="s">
        <v>58</v>
      </c>
      <c r="D10" t="s">
        <v>68</v>
      </c>
      <c r="AP10" t="s">
        <v>69</v>
      </c>
      <c r="AR10" s="10"/>
    </row>
    <row r="11" spans="1:57" ht="14.5" hidden="1" x14ac:dyDescent="0.35">
      <c r="A11" t="s">
        <v>58</v>
      </c>
      <c r="D11" t="s">
        <v>70</v>
      </c>
      <c r="AP11" t="s">
        <v>71</v>
      </c>
      <c r="AR11" s="10"/>
    </row>
    <row r="12" spans="1:57" ht="14.5" hidden="1" x14ac:dyDescent="0.35">
      <c r="A12" t="s">
        <v>58</v>
      </c>
      <c r="D12" t="s">
        <v>72</v>
      </c>
      <c r="AP12" t="s">
        <v>73</v>
      </c>
      <c r="AR12" s="10"/>
    </row>
    <row r="13" spans="1:57" ht="14.5" x14ac:dyDescent="0.35">
      <c r="A13" t="s">
        <v>52</v>
      </c>
      <c r="B13">
        <v>4.4000000000000004</v>
      </c>
      <c r="C13">
        <v>3.3</v>
      </c>
      <c r="D13" t="s">
        <v>74</v>
      </c>
      <c r="E13">
        <v>4</v>
      </c>
      <c r="F13">
        <v>4</v>
      </c>
      <c r="G13">
        <v>4</v>
      </c>
      <c r="H13">
        <v>4</v>
      </c>
      <c r="I13">
        <v>5</v>
      </c>
      <c r="J13">
        <f>SUM(E13:I13)</f>
        <v>21</v>
      </c>
      <c r="K13" s="13">
        <f>AVERAGE(E13:I13)</f>
        <v>4.2</v>
      </c>
      <c r="L13">
        <v>4</v>
      </c>
      <c r="M13">
        <v>3</v>
      </c>
      <c r="N13">
        <v>4</v>
      </c>
      <c r="O13">
        <v>4</v>
      </c>
      <c r="P13">
        <f>SUM(L13:O13)</f>
        <v>15</v>
      </c>
      <c r="Q13" s="10">
        <f>AVERAGE(L13:O13)</f>
        <v>3.75</v>
      </c>
      <c r="R13">
        <v>4</v>
      </c>
      <c r="S13">
        <v>4</v>
      </c>
      <c r="T13">
        <v>4</v>
      </c>
      <c r="U13">
        <f>SUM(R13:T13)</f>
        <v>12</v>
      </c>
      <c r="V13" s="10">
        <f>AVERAGE(R13:T13)</f>
        <v>4</v>
      </c>
      <c r="W13">
        <v>5</v>
      </c>
      <c r="X13">
        <v>4</v>
      </c>
      <c r="Y13">
        <v>3</v>
      </c>
      <c r="Z13">
        <v>1</v>
      </c>
      <c r="AA13">
        <v>3</v>
      </c>
      <c r="AB13">
        <v>4</v>
      </c>
      <c r="AC13">
        <f>SUM(W13:AB13)</f>
        <v>20</v>
      </c>
      <c r="AD13" s="10">
        <f>AVERAGE(W13:AB13)</f>
        <v>3.3333333333333335</v>
      </c>
      <c r="AE13">
        <v>1</v>
      </c>
      <c r="AF13">
        <v>1</v>
      </c>
      <c r="AG13">
        <v>1</v>
      </c>
      <c r="AH13">
        <f>SUM(AE13:AG13)</f>
        <v>3</v>
      </c>
      <c r="AI13" s="10">
        <f>AVERAGE(AE13:AG13)</f>
        <v>1</v>
      </c>
      <c r="AJ13">
        <v>4</v>
      </c>
      <c r="AK13">
        <v>4</v>
      </c>
      <c r="AL13">
        <v>1</v>
      </c>
      <c r="AM13">
        <v>3</v>
      </c>
      <c r="AN13">
        <f>SUM(AJ13:AM13)</f>
        <v>12</v>
      </c>
      <c r="AO13" s="10">
        <f>AVERAGE(AJ13:AM13)</f>
        <v>3</v>
      </c>
      <c r="AP13" t="s">
        <v>75</v>
      </c>
      <c r="AQ13" t="s">
        <v>61</v>
      </c>
      <c r="AR13" s="10">
        <f>AVERAGE(E13:I13,L13:O13,R13:T13,W13:AB13,AE13:AG13)</f>
        <v>3.3809523809523809</v>
      </c>
      <c r="AS13" s="10">
        <f>_xlfn.STDEV.S(E13:I13,L13:O13,R13:T13,W13:AB13)</f>
        <v>0.87820375202190859</v>
      </c>
      <c r="AT13" s="10">
        <f>AVERAGE(AE13:AG13)</f>
        <v>1</v>
      </c>
      <c r="AU13" s="10">
        <f>_xlfn.STDEV.S(AE13:AG13)</f>
        <v>0</v>
      </c>
      <c r="AV13" s="10">
        <f>AVERAGE(AJ13:AM13)</f>
        <v>3</v>
      </c>
      <c r="AW13" s="10">
        <f>_xlfn.STDEV.S(AJ13:AM13)</f>
        <v>1.4142135623730951</v>
      </c>
      <c r="AX13" s="10">
        <f>AVERAGE(AR13,AT13,AV13)</f>
        <v>2.4603174603174605</v>
      </c>
      <c r="AY13" s="10">
        <f>_xlfn.STDEV.S(E13:I13,L13:O13,R13:T13,W13:AB13,AE13:AG13,AJ13:AM13)</f>
        <v>1.2819256348686274</v>
      </c>
      <c r="AZ13">
        <f>_xlfn.RANK.AVG(AR13, $AR$3:$AR$76, 1)</f>
        <v>39</v>
      </c>
      <c r="BA13">
        <f>_xlfn.RANK.AVG(AT13, $AT$3:$AT$76, 1)</f>
        <v>5.5</v>
      </c>
      <c r="BB13">
        <f>_xlfn.RANK.AVG(AV13, $AV$3:$AV$76, 1)</f>
        <v>46</v>
      </c>
    </row>
    <row r="14" spans="1:57" ht="14.5" hidden="1" x14ac:dyDescent="0.35">
      <c r="A14" t="s">
        <v>52</v>
      </c>
      <c r="D14" t="s">
        <v>76</v>
      </c>
      <c r="AP14" t="s">
        <v>77</v>
      </c>
      <c r="AR14" s="10"/>
    </row>
    <row r="15" spans="1:57" ht="14.5" x14ac:dyDescent="0.35">
      <c r="A15" t="s">
        <v>48</v>
      </c>
      <c r="B15" t="s">
        <v>53</v>
      </c>
      <c r="D15" t="s">
        <v>78</v>
      </c>
      <c r="E15">
        <v>2</v>
      </c>
      <c r="F15">
        <v>2</v>
      </c>
      <c r="G15">
        <v>3</v>
      </c>
      <c r="H15">
        <v>3</v>
      </c>
      <c r="I15">
        <v>5</v>
      </c>
      <c r="J15">
        <f>SUM(E15:I15)</f>
        <v>15</v>
      </c>
      <c r="K15" s="13">
        <f>AVERAGE(E15:I15)</f>
        <v>3</v>
      </c>
      <c r="L15">
        <v>5</v>
      </c>
      <c r="M15">
        <v>5</v>
      </c>
      <c r="N15">
        <v>5</v>
      </c>
      <c r="O15">
        <v>5</v>
      </c>
      <c r="P15">
        <f>SUM(L15:O15)</f>
        <v>20</v>
      </c>
      <c r="Q15" s="10">
        <f>AVERAGE(L15:O15)</f>
        <v>5</v>
      </c>
      <c r="R15">
        <v>5</v>
      </c>
      <c r="S15">
        <v>4</v>
      </c>
      <c r="T15">
        <v>3</v>
      </c>
      <c r="U15">
        <f>SUM(R15:T15)</f>
        <v>12</v>
      </c>
      <c r="V15" s="10">
        <f>AVERAGE(R15:T15)</f>
        <v>4</v>
      </c>
      <c r="W15">
        <v>5</v>
      </c>
      <c r="X15">
        <v>4</v>
      </c>
      <c r="Y15" t="s">
        <v>53</v>
      </c>
      <c r="Z15" t="s">
        <v>53</v>
      </c>
      <c r="AA15" t="s">
        <v>53</v>
      </c>
      <c r="AB15">
        <v>1</v>
      </c>
      <c r="AC15">
        <f>SUM(W15:AB15)</f>
        <v>10</v>
      </c>
      <c r="AD15" s="10">
        <f>AVERAGE(W15:AB15)</f>
        <v>3.3333333333333335</v>
      </c>
      <c r="AE15">
        <v>1</v>
      </c>
      <c r="AF15">
        <v>2</v>
      </c>
      <c r="AG15">
        <v>1</v>
      </c>
      <c r="AH15">
        <f>SUM(AE15:AG15)</f>
        <v>4</v>
      </c>
      <c r="AI15" s="10">
        <f>AVERAGE(AE15:AG15)</f>
        <v>1.3333333333333333</v>
      </c>
      <c r="AJ15">
        <v>3</v>
      </c>
      <c r="AK15">
        <v>3</v>
      </c>
      <c r="AL15">
        <v>1</v>
      </c>
      <c r="AM15">
        <v>3</v>
      </c>
      <c r="AN15">
        <f>SUM(AJ15:AM15)</f>
        <v>10</v>
      </c>
      <c r="AO15" s="10">
        <f>AVERAGE(AJ15:AM15)</f>
        <v>2.5</v>
      </c>
      <c r="AP15" t="s">
        <v>79</v>
      </c>
      <c r="AQ15" t="s">
        <v>61</v>
      </c>
      <c r="AR15" s="10">
        <f>AVERAGE(E15:I15,L15:O15,R15:T15,W15:AB15,AE15:AG15)</f>
        <v>3.3888888888888888</v>
      </c>
      <c r="AS15" s="10">
        <f>_xlfn.STDEV.S(E15:I15,L15:O15,R15:T15,W15:AB15)</f>
        <v>1.3732131246511905</v>
      </c>
      <c r="AT15" s="10">
        <f>AVERAGE(AE15:AG15)</f>
        <v>1.3333333333333333</v>
      </c>
      <c r="AU15" s="10">
        <f>_xlfn.STDEV.S(AE15:AG15)</f>
        <v>0.57735026918962584</v>
      </c>
      <c r="AV15" s="10">
        <f>AVERAGE(AJ15:AM15)</f>
        <v>2.5</v>
      </c>
      <c r="AW15" s="10">
        <f>_xlfn.STDEV.S(AJ15:AM15)</f>
        <v>1</v>
      </c>
      <c r="AX15" s="10">
        <f>AVERAGE(AR15,AT15,AV15)</f>
        <v>2.4074074074074074</v>
      </c>
      <c r="AY15" s="10">
        <f t="shared" ref="AY15:AY16" si="23">_xlfn.STDEV.S(E15:I15,L15:O15,R15:T15,W15:AB15,AE15:AG15,AJ15:AM15)</f>
        <v>1.5097088392205895</v>
      </c>
      <c r="AZ15">
        <f>_xlfn.RANK.AVG(AR15, $AR$3:$AR$76, 1)</f>
        <v>41</v>
      </c>
      <c r="BA15">
        <f>_xlfn.RANK.AVG(AT15, $AT$3:$AT$76, 1)</f>
        <v>23.5</v>
      </c>
      <c r="BB15">
        <f>_xlfn.RANK.AVG(AV15, $AV$3:$AV$76, 1)</f>
        <v>40</v>
      </c>
    </row>
    <row r="16" spans="1:57" ht="14.5" x14ac:dyDescent="0.35">
      <c r="A16" t="s">
        <v>48</v>
      </c>
      <c r="B16">
        <v>4.7</v>
      </c>
      <c r="D16" t="s">
        <v>80</v>
      </c>
      <c r="E16">
        <v>1</v>
      </c>
      <c r="F16">
        <v>1</v>
      </c>
      <c r="G16">
        <v>3</v>
      </c>
      <c r="H16">
        <v>3</v>
      </c>
      <c r="I16">
        <v>5</v>
      </c>
      <c r="J16">
        <f>SUM(E16:I16)</f>
        <v>13</v>
      </c>
      <c r="K16" s="13">
        <f>AVERAGE(E16:I16)</f>
        <v>2.6</v>
      </c>
      <c r="L16">
        <v>5</v>
      </c>
      <c r="M16">
        <v>5</v>
      </c>
      <c r="N16">
        <v>5</v>
      </c>
      <c r="O16">
        <v>5</v>
      </c>
      <c r="P16">
        <f>SUM(L16:O16)</f>
        <v>20</v>
      </c>
      <c r="Q16" s="10">
        <f>AVERAGE(L16:O16)</f>
        <v>5</v>
      </c>
      <c r="R16">
        <v>5</v>
      </c>
      <c r="S16">
        <v>4</v>
      </c>
      <c r="T16">
        <v>3</v>
      </c>
      <c r="U16">
        <f>SUM(R16:T16)</f>
        <v>12</v>
      </c>
      <c r="V16" s="10">
        <f>AVERAGE(R16:T16)</f>
        <v>4</v>
      </c>
      <c r="W16">
        <v>5</v>
      </c>
      <c r="X16">
        <v>3</v>
      </c>
      <c r="Y16" t="s">
        <v>53</v>
      </c>
      <c r="Z16" t="s">
        <v>53</v>
      </c>
      <c r="AA16">
        <v>1</v>
      </c>
      <c r="AB16">
        <v>1</v>
      </c>
      <c r="AC16">
        <f>SUM(W16:AB16)</f>
        <v>10</v>
      </c>
      <c r="AD16" s="10">
        <f>AVERAGE(W16:AB16)</f>
        <v>2.5</v>
      </c>
      <c r="AE16">
        <v>1</v>
      </c>
      <c r="AF16">
        <v>2</v>
      </c>
      <c r="AG16">
        <v>3</v>
      </c>
      <c r="AH16">
        <f>SUM(AE16:AG16)</f>
        <v>6</v>
      </c>
      <c r="AI16" s="10">
        <f>AVERAGE(AE16:AG16)</f>
        <v>2</v>
      </c>
      <c r="AJ16">
        <v>3</v>
      </c>
      <c r="AK16">
        <v>2</v>
      </c>
      <c r="AL16">
        <v>1</v>
      </c>
      <c r="AM16">
        <v>2</v>
      </c>
      <c r="AN16">
        <f>SUM(AJ16:AM16)</f>
        <v>8</v>
      </c>
      <c r="AO16" s="10">
        <f>AVERAGE(AJ16:AM16)</f>
        <v>2</v>
      </c>
      <c r="AP16" t="s">
        <v>81</v>
      </c>
      <c r="AQ16" t="s">
        <v>61</v>
      </c>
      <c r="AR16" s="10">
        <f>AVERAGE(E16:I16,L16:O16,R16:T16,W16:AB16,AE16:AG16)</f>
        <v>3.2105263157894739</v>
      </c>
      <c r="AS16" s="10">
        <f>_xlfn.STDEV.S(E16:I16,L16:O16,R16:T16,W16:AB16)</f>
        <v>1.672074559741082</v>
      </c>
      <c r="AT16" s="10">
        <f>AVERAGE(AE16:AG16)</f>
        <v>2</v>
      </c>
      <c r="AU16" s="10">
        <f>_xlfn.STDEV.S(AE16:AG16)</f>
        <v>1</v>
      </c>
      <c r="AV16" s="10">
        <f>AVERAGE(AJ16:AM16)</f>
        <v>2</v>
      </c>
      <c r="AW16" s="10">
        <f>_xlfn.STDEV.S(AJ16:AM16)</f>
        <v>0.81649658092772603</v>
      </c>
      <c r="AX16" s="10">
        <f>AVERAGE(AR16,AT16,AV16)</f>
        <v>2.4035087719298249</v>
      </c>
      <c r="AY16" s="10">
        <f t="shared" si="23"/>
        <v>1.5954480704349312</v>
      </c>
      <c r="AZ16">
        <f>_xlfn.RANK.AVG(AR16, $AR$3:$AR$76, 1)</f>
        <v>32</v>
      </c>
      <c r="BA16">
        <f>_xlfn.RANK.AVG(AT16, $AT$3:$AT$76, 1)</f>
        <v>44</v>
      </c>
      <c r="BB16">
        <f>_xlfn.RANK.AVG(AV16, $AV$3:$AV$76, 1)</f>
        <v>26</v>
      </c>
    </row>
    <row r="17" spans="1:54" ht="14.5" hidden="1" x14ac:dyDescent="0.35">
      <c r="A17" t="s">
        <v>52</v>
      </c>
      <c r="B17" t="s">
        <v>53</v>
      </c>
      <c r="C17" t="s">
        <v>53</v>
      </c>
      <c r="D17" t="s">
        <v>82</v>
      </c>
      <c r="AP17" t="s">
        <v>83</v>
      </c>
      <c r="AR17" s="10"/>
    </row>
    <row r="18" spans="1:54" ht="14.5" x14ac:dyDescent="0.35">
      <c r="A18" t="s">
        <v>52</v>
      </c>
      <c r="B18" t="s">
        <v>53</v>
      </c>
      <c r="C18">
        <v>3.8</v>
      </c>
      <c r="D18" t="s">
        <v>84</v>
      </c>
      <c r="E18">
        <v>4</v>
      </c>
      <c r="F18">
        <v>4</v>
      </c>
      <c r="G18">
        <v>2</v>
      </c>
      <c r="H18">
        <v>3</v>
      </c>
      <c r="I18">
        <v>5</v>
      </c>
      <c r="J18">
        <f>SUM(E18:I18)</f>
        <v>18</v>
      </c>
      <c r="K18" s="13">
        <f>AVERAGE(E18:I18)</f>
        <v>3.6</v>
      </c>
      <c r="L18">
        <v>4</v>
      </c>
      <c r="M18">
        <v>4</v>
      </c>
      <c r="N18">
        <v>5</v>
      </c>
      <c r="O18">
        <v>4</v>
      </c>
      <c r="P18">
        <f>SUM(L18:O18)</f>
        <v>17</v>
      </c>
      <c r="Q18" s="10">
        <f>AVERAGE(L18:O18)</f>
        <v>4.25</v>
      </c>
      <c r="R18">
        <v>3</v>
      </c>
      <c r="S18">
        <v>4</v>
      </c>
      <c r="T18">
        <v>4</v>
      </c>
      <c r="U18">
        <f>SUM(R18:T18)</f>
        <v>11</v>
      </c>
      <c r="V18" s="10">
        <f>AVERAGE(R18:T18)</f>
        <v>3.6666666666666665</v>
      </c>
      <c r="W18">
        <v>4</v>
      </c>
      <c r="X18">
        <v>3</v>
      </c>
      <c r="Y18" t="s">
        <v>53</v>
      </c>
      <c r="Z18" t="s">
        <v>53</v>
      </c>
      <c r="AA18">
        <v>3</v>
      </c>
      <c r="AB18">
        <v>1</v>
      </c>
      <c r="AC18">
        <f>SUM(W18:AB18)</f>
        <v>11</v>
      </c>
      <c r="AD18" s="10">
        <f>AVERAGE(W18:AB18)</f>
        <v>2.75</v>
      </c>
      <c r="AE18">
        <v>1</v>
      </c>
      <c r="AF18">
        <v>3</v>
      </c>
      <c r="AG18">
        <v>1</v>
      </c>
      <c r="AH18">
        <f>SUM(AE18:AG18)</f>
        <v>5</v>
      </c>
      <c r="AI18" s="10">
        <f>AVERAGE(AE18:AG18)</f>
        <v>1.6666666666666667</v>
      </c>
      <c r="AJ18">
        <v>2</v>
      </c>
      <c r="AK18">
        <v>3</v>
      </c>
      <c r="AL18">
        <v>1</v>
      </c>
      <c r="AM18">
        <v>3</v>
      </c>
      <c r="AN18">
        <f>SUM(AJ18:AM18)</f>
        <v>9</v>
      </c>
      <c r="AO18" s="10">
        <f>AVERAGE(AJ18:AM18)</f>
        <v>2.25</v>
      </c>
      <c r="AP18" t="s">
        <v>85</v>
      </c>
      <c r="AQ18" t="s">
        <v>61</v>
      </c>
      <c r="AR18" s="10">
        <f>AVERAGE(E18:I18,L18:O18,R18:T18,W18:AB18,AE18:AG18)</f>
        <v>3.263157894736842</v>
      </c>
      <c r="AS18" s="10">
        <f>_xlfn.STDEV.S(E18:I18,L18:O18,R18:T18,W18:AB18)</f>
        <v>1.0307764064044151</v>
      </c>
      <c r="AT18" s="10">
        <f>AVERAGE(AE18:AG18)</f>
        <v>1.6666666666666667</v>
      </c>
      <c r="AU18" s="10">
        <f>_xlfn.STDEV.S(AE18:AG18)</f>
        <v>1.1547005383792515</v>
      </c>
      <c r="AV18" s="10">
        <f>AVERAGE(AJ18:AM18)</f>
        <v>2.25</v>
      </c>
      <c r="AW18" s="10">
        <f>_xlfn.STDEV.S(AJ18:AM18)</f>
        <v>0.9574271077563381</v>
      </c>
      <c r="AX18" s="10">
        <f>AVERAGE(AR18,AT18,AV18)</f>
        <v>2.3932748538011697</v>
      </c>
      <c r="AY18" s="10">
        <f t="shared" ref="AY18:AY21" si="24">_xlfn.STDEV.S(E18:I18,L18:O18,R18:T18,W18:AB18,AE18:AG18,AJ18:AM18)</f>
        <v>1.2399795994751788</v>
      </c>
      <c r="AZ18">
        <f>_xlfn.RANK.AVG(AR18, $AR$3:$AR$76, 1)</f>
        <v>35</v>
      </c>
      <c r="BA18">
        <f>_xlfn.RANK.AVG(AT18, $AT$3:$AT$76, 1)</f>
        <v>39.5</v>
      </c>
      <c r="BB18">
        <f>_xlfn.RANK.AVG(AV18, $AV$3:$AV$76, 1)</f>
        <v>34</v>
      </c>
    </row>
    <row r="19" spans="1:54" ht="14.5" x14ac:dyDescent="0.35">
      <c r="A19" t="s">
        <v>48</v>
      </c>
      <c r="B19">
        <v>4.2</v>
      </c>
      <c r="D19" t="s">
        <v>86</v>
      </c>
      <c r="E19">
        <v>5</v>
      </c>
      <c r="F19">
        <v>5</v>
      </c>
      <c r="G19">
        <v>2</v>
      </c>
      <c r="H19">
        <v>2</v>
      </c>
      <c r="I19">
        <v>5</v>
      </c>
      <c r="J19">
        <f>SUM(E19:I19)</f>
        <v>19</v>
      </c>
      <c r="K19" s="13">
        <f>AVERAGE(E19:I19)</f>
        <v>3.8</v>
      </c>
      <c r="L19">
        <v>5</v>
      </c>
      <c r="M19">
        <v>4</v>
      </c>
      <c r="N19">
        <v>5</v>
      </c>
      <c r="O19">
        <v>4</v>
      </c>
      <c r="P19">
        <f>SUM(L19:O19)</f>
        <v>18</v>
      </c>
      <c r="Q19" s="10">
        <f>AVERAGE(L19:O19)</f>
        <v>4.5</v>
      </c>
      <c r="R19">
        <v>5</v>
      </c>
      <c r="S19">
        <v>5</v>
      </c>
      <c r="T19">
        <v>5</v>
      </c>
      <c r="U19">
        <f>SUM(R19:T19)</f>
        <v>15</v>
      </c>
      <c r="V19" s="10">
        <f>AVERAGE(R19:T19)</f>
        <v>5</v>
      </c>
      <c r="W19">
        <v>5</v>
      </c>
      <c r="X19">
        <v>3</v>
      </c>
      <c r="Y19" t="s">
        <v>53</v>
      </c>
      <c r="Z19" t="s">
        <v>53</v>
      </c>
      <c r="AA19" t="s">
        <v>53</v>
      </c>
      <c r="AB19">
        <v>1</v>
      </c>
      <c r="AC19">
        <f>SUM(W19:AB19)</f>
        <v>9</v>
      </c>
      <c r="AD19" s="10">
        <f>AVERAGE(W19:AB19)</f>
        <v>3</v>
      </c>
      <c r="AE19">
        <v>1</v>
      </c>
      <c r="AF19">
        <v>1</v>
      </c>
      <c r="AG19">
        <v>1</v>
      </c>
      <c r="AH19">
        <f>SUM(AE19:AG19)</f>
        <v>3</v>
      </c>
      <c r="AI19" s="10">
        <f>AVERAGE(AE19:AG19)</f>
        <v>1</v>
      </c>
      <c r="AJ19">
        <v>3</v>
      </c>
      <c r="AK19">
        <v>4</v>
      </c>
      <c r="AL19">
        <v>1</v>
      </c>
      <c r="AM19">
        <v>3</v>
      </c>
      <c r="AN19">
        <f>SUM(AJ19:AM19)</f>
        <v>11</v>
      </c>
      <c r="AO19" s="10">
        <f>AVERAGE(AJ19:AM19)</f>
        <v>2.75</v>
      </c>
      <c r="AP19" t="s">
        <v>87</v>
      </c>
      <c r="AQ19" t="s">
        <v>61</v>
      </c>
      <c r="AR19" s="10">
        <f>AVERAGE(E19:I19,L19:O19,R19:T19,W19:AB19,AE19:AG19,AJ19:AM19)</f>
        <v>3.4090909090909092</v>
      </c>
      <c r="AS19" s="10">
        <f>_xlfn.STDEV.S(E19:I19,L19:O19,R19:T19,W19:AB19)</f>
        <v>1.3870146083619754</v>
      </c>
      <c r="AT19" s="10">
        <f>AVERAGE(AE19:AG19)</f>
        <v>1</v>
      </c>
      <c r="AU19" s="10">
        <f>_xlfn.STDEV.S(AE19:AG19)</f>
        <v>0</v>
      </c>
      <c r="AV19" s="10">
        <f>AVERAGE(AJ19:AM19)</f>
        <v>2.75</v>
      </c>
      <c r="AW19" s="10">
        <f>_xlfn.STDEV.S(AJ19:AM19)</f>
        <v>1.2583057392117916</v>
      </c>
      <c r="AX19" s="10">
        <f>AVERAGE(AR19,AT19,AV19)</f>
        <v>2.3863636363636362</v>
      </c>
      <c r="AY19" s="10">
        <f t="shared" si="24"/>
        <v>1.6521008532886934</v>
      </c>
      <c r="AZ19">
        <f>_xlfn.RANK.AVG(AR19, $AR$3:$AR$76, 1)</f>
        <v>43</v>
      </c>
      <c r="BA19">
        <f>_xlfn.RANK.AVG(AT19, $AT$3:$AT$76, 1)</f>
        <v>5.5</v>
      </c>
      <c r="BB19">
        <f>_xlfn.RANK.AVG(AV19, $AV$3:$AV$76, 1)</f>
        <v>43.5</v>
      </c>
    </row>
    <row r="20" spans="1:54" ht="14.5" x14ac:dyDescent="0.35">
      <c r="A20" t="s">
        <v>48</v>
      </c>
      <c r="B20" t="s">
        <v>53</v>
      </c>
      <c r="D20" t="s">
        <v>88</v>
      </c>
      <c r="E20">
        <v>2</v>
      </c>
      <c r="F20">
        <v>2</v>
      </c>
      <c r="G20">
        <v>3</v>
      </c>
      <c r="H20">
        <v>3</v>
      </c>
      <c r="I20">
        <v>5</v>
      </c>
      <c r="J20">
        <f>SUM(E20:I20)</f>
        <v>15</v>
      </c>
      <c r="K20" s="13">
        <f>AVERAGE(E20:I20)</f>
        <v>3</v>
      </c>
      <c r="L20">
        <v>5</v>
      </c>
      <c r="M20">
        <v>4</v>
      </c>
      <c r="N20">
        <v>5</v>
      </c>
      <c r="O20">
        <v>5</v>
      </c>
      <c r="P20">
        <f>SUM(L20:O20)</f>
        <v>19</v>
      </c>
      <c r="Q20" s="10">
        <f>AVERAGE(L20:O20)</f>
        <v>4.75</v>
      </c>
      <c r="R20">
        <v>5</v>
      </c>
      <c r="S20">
        <v>5</v>
      </c>
      <c r="T20">
        <v>5</v>
      </c>
      <c r="U20">
        <f>SUM(R20:T20)</f>
        <v>15</v>
      </c>
      <c r="V20" s="10">
        <f>AVERAGE(R20:T20)</f>
        <v>5</v>
      </c>
      <c r="W20">
        <v>4</v>
      </c>
      <c r="X20">
        <v>3</v>
      </c>
      <c r="Y20">
        <v>3</v>
      </c>
      <c r="Z20">
        <v>3</v>
      </c>
      <c r="AA20">
        <v>4</v>
      </c>
      <c r="AB20">
        <v>1</v>
      </c>
      <c r="AC20">
        <f>SUM(W20:AB20)</f>
        <v>18</v>
      </c>
      <c r="AD20" s="10">
        <f>AVERAGE(W20:AB20)</f>
        <v>3</v>
      </c>
      <c r="AE20">
        <v>1</v>
      </c>
      <c r="AF20">
        <v>3</v>
      </c>
      <c r="AG20">
        <v>1</v>
      </c>
      <c r="AH20">
        <f>SUM(AE20:AG20)</f>
        <v>5</v>
      </c>
      <c r="AI20" s="10">
        <f>AVERAGE(AE20:AG20)</f>
        <v>1.6666666666666667</v>
      </c>
      <c r="AJ20">
        <v>3</v>
      </c>
      <c r="AK20">
        <v>2</v>
      </c>
      <c r="AL20">
        <v>1</v>
      </c>
      <c r="AM20">
        <v>3</v>
      </c>
      <c r="AN20">
        <f>SUM(AJ20:AM20)</f>
        <v>9</v>
      </c>
      <c r="AO20" s="10">
        <f>AVERAGE(AJ20:AM20)</f>
        <v>2.25</v>
      </c>
      <c r="AP20" t="s">
        <v>89</v>
      </c>
      <c r="AQ20" t="s">
        <v>48</v>
      </c>
      <c r="AR20" s="10">
        <f>AVERAGE(E20:I20,L20:O20,R20:T20,W20:AB20,AE20:AG20,AJ20:AM20)</f>
        <v>3.24</v>
      </c>
      <c r="AS20" s="10">
        <f>_xlfn.STDEV.S(E20:I20,L20:O20,R20:T20,W20:AB20)</f>
        <v>1.274434386908933</v>
      </c>
      <c r="AT20" s="10">
        <f>AVERAGE(AE20:AG20)</f>
        <v>1.6666666666666667</v>
      </c>
      <c r="AU20" s="10">
        <f>_xlfn.STDEV.S(AE20:AG20)</f>
        <v>1.1547005383792515</v>
      </c>
      <c r="AV20" s="10">
        <f>AVERAGE(AJ20:AM20)</f>
        <v>2.25</v>
      </c>
      <c r="AW20" s="10">
        <f>_xlfn.STDEV.S(AJ20:AM20)</f>
        <v>0.9574271077563381</v>
      </c>
      <c r="AX20" s="10">
        <f>AVERAGE(AR20,AT20,AV20)</f>
        <v>2.3855555555555559</v>
      </c>
      <c r="AY20" s="10">
        <f t="shared" si="24"/>
        <v>1.4224392195567912</v>
      </c>
      <c r="AZ20">
        <f>_xlfn.RANK.AVG(AR20, $AR$3:$AR$76, 1)</f>
        <v>33</v>
      </c>
      <c r="BA20">
        <f>_xlfn.RANK.AVG(AT20, $AT$3:$AT$76, 1)</f>
        <v>39.5</v>
      </c>
      <c r="BB20">
        <f>_xlfn.RANK.AVG(AV20, $AV$3:$AV$76, 1)</f>
        <v>34</v>
      </c>
    </row>
    <row r="21" spans="1:54" ht="14.5" x14ac:dyDescent="0.35">
      <c r="A21" t="s">
        <v>48</v>
      </c>
      <c r="B21" t="s">
        <v>53</v>
      </c>
      <c r="D21" t="s">
        <v>90</v>
      </c>
      <c r="E21">
        <v>3</v>
      </c>
      <c r="F21">
        <v>3</v>
      </c>
      <c r="G21">
        <v>3</v>
      </c>
      <c r="H21">
        <v>3</v>
      </c>
      <c r="I21">
        <v>4</v>
      </c>
      <c r="J21">
        <f>SUM(E21:I21)</f>
        <v>16</v>
      </c>
      <c r="K21" s="13">
        <f>AVERAGE(E21:I21)</f>
        <v>3.2</v>
      </c>
      <c r="L21">
        <v>5</v>
      </c>
      <c r="M21">
        <v>5</v>
      </c>
      <c r="N21">
        <v>5</v>
      </c>
      <c r="O21">
        <v>4</v>
      </c>
      <c r="P21">
        <f>SUM(L21:O21)</f>
        <v>19</v>
      </c>
      <c r="Q21" s="10">
        <f>AVERAGE(L21:O21)</f>
        <v>4.75</v>
      </c>
      <c r="R21">
        <v>5</v>
      </c>
      <c r="S21">
        <v>5</v>
      </c>
      <c r="T21">
        <v>5</v>
      </c>
      <c r="U21">
        <f>SUM(R21:T21)</f>
        <v>15</v>
      </c>
      <c r="V21" s="10">
        <f>AVERAGE(R21:T21)</f>
        <v>5</v>
      </c>
      <c r="W21">
        <v>5</v>
      </c>
      <c r="X21">
        <v>3</v>
      </c>
      <c r="Y21" t="s">
        <v>53</v>
      </c>
      <c r="Z21" t="s">
        <v>53</v>
      </c>
      <c r="AA21">
        <v>2</v>
      </c>
      <c r="AB21">
        <v>1</v>
      </c>
      <c r="AC21">
        <f>SUM(W21:AB21)</f>
        <v>11</v>
      </c>
      <c r="AD21" s="10">
        <f>AVERAGE(W21:AB21)</f>
        <v>2.75</v>
      </c>
      <c r="AE21">
        <v>1</v>
      </c>
      <c r="AF21">
        <v>2</v>
      </c>
      <c r="AG21">
        <v>1</v>
      </c>
      <c r="AH21">
        <f>SUM(AE21:AG21)</f>
        <v>4</v>
      </c>
      <c r="AI21" s="10">
        <f>AVERAGE(AE21:AG21)</f>
        <v>1.3333333333333333</v>
      </c>
      <c r="AJ21">
        <v>3</v>
      </c>
      <c r="AK21">
        <v>3</v>
      </c>
      <c r="AL21">
        <v>1</v>
      </c>
      <c r="AM21">
        <v>3</v>
      </c>
      <c r="AN21">
        <f>SUM(AJ21:AM21)</f>
        <v>10</v>
      </c>
      <c r="AO21" s="10">
        <f>AVERAGE(AJ21:AM21)</f>
        <v>2.5</v>
      </c>
      <c r="AP21" t="s">
        <v>91</v>
      </c>
      <c r="AQ21" t="s">
        <v>61</v>
      </c>
      <c r="AR21" s="10">
        <f>AVERAGE(E21:I21,L21:O21,R21:T21,W21:AB21,AE21:AG21,AJ21:AM21)</f>
        <v>3.2608695652173911</v>
      </c>
      <c r="AS21" s="10">
        <f>_xlfn.STDEV.S(E21:I21,L21:O21,R21:T21,W21:AB21)</f>
        <v>1.2763881332363862</v>
      </c>
      <c r="AT21" s="10">
        <f>AVERAGE(AE21:AG21)</f>
        <v>1.3333333333333333</v>
      </c>
      <c r="AU21" s="10">
        <f>_xlfn.STDEV.S(AE21:AG21)</f>
        <v>0.57735026918962584</v>
      </c>
      <c r="AV21" s="10">
        <f>AVERAGE(AJ21:AM21)</f>
        <v>2.5</v>
      </c>
      <c r="AW21" s="10">
        <f>_xlfn.STDEV.S(AJ21:AM21)</f>
        <v>1</v>
      </c>
      <c r="AX21" s="10">
        <f>AVERAGE(AR21,AT21,AV21)</f>
        <v>2.3647342995169081</v>
      </c>
      <c r="AY21" s="10">
        <f t="shared" si="24"/>
        <v>1.4528151763933681</v>
      </c>
      <c r="AZ21">
        <f>_xlfn.RANK.AVG(AR21, $AR$3:$AR$76, 1)</f>
        <v>34</v>
      </c>
      <c r="BA21">
        <f>_xlfn.RANK.AVG(AT21, $AT$3:$AT$76, 1)</f>
        <v>23.5</v>
      </c>
      <c r="BB21">
        <f>_xlfn.RANK.AVG(AV21, $AV$3:$AV$76, 1)</f>
        <v>40</v>
      </c>
    </row>
    <row r="22" spans="1:54" ht="14.5" hidden="1" x14ac:dyDescent="0.35">
      <c r="A22" t="s">
        <v>52</v>
      </c>
      <c r="D22" t="s">
        <v>92</v>
      </c>
      <c r="AP22" t="s">
        <v>93</v>
      </c>
      <c r="AR22" s="10"/>
    </row>
    <row r="23" spans="1:54" ht="14.5" x14ac:dyDescent="0.35">
      <c r="A23" t="s">
        <v>48</v>
      </c>
      <c r="B23" t="s">
        <v>53</v>
      </c>
      <c r="D23" t="s">
        <v>94</v>
      </c>
      <c r="E23">
        <v>4</v>
      </c>
      <c r="F23">
        <v>3</v>
      </c>
      <c r="G23">
        <v>2</v>
      </c>
      <c r="H23">
        <v>2</v>
      </c>
      <c r="I23">
        <v>5</v>
      </c>
      <c r="J23">
        <f>SUM(E23:I23)</f>
        <v>16</v>
      </c>
      <c r="K23" s="13">
        <f>AVERAGE(E23:I23)</f>
        <v>3.2</v>
      </c>
      <c r="L23">
        <v>5</v>
      </c>
      <c r="M23">
        <v>4</v>
      </c>
      <c r="N23">
        <v>5</v>
      </c>
      <c r="O23">
        <v>5</v>
      </c>
      <c r="P23">
        <f>SUM(L23:O23)</f>
        <v>19</v>
      </c>
      <c r="Q23" s="10">
        <f>AVERAGE(L23:O23)</f>
        <v>4.75</v>
      </c>
      <c r="R23">
        <v>4</v>
      </c>
      <c r="S23">
        <v>4</v>
      </c>
      <c r="T23">
        <v>4</v>
      </c>
      <c r="U23">
        <f>SUM(R23:T23)</f>
        <v>12</v>
      </c>
      <c r="V23" s="10">
        <f>AVERAGE(R23:T23)</f>
        <v>4</v>
      </c>
      <c r="W23">
        <v>5</v>
      </c>
      <c r="X23">
        <v>3</v>
      </c>
      <c r="Y23" t="s">
        <v>53</v>
      </c>
      <c r="Z23" t="s">
        <v>53</v>
      </c>
      <c r="AA23" t="s">
        <v>53</v>
      </c>
      <c r="AB23">
        <v>1</v>
      </c>
      <c r="AC23">
        <f>SUM(W23:AB23)</f>
        <v>9</v>
      </c>
      <c r="AD23" s="10">
        <f>AVERAGE(W23:AB23)</f>
        <v>3</v>
      </c>
      <c r="AE23">
        <v>1</v>
      </c>
      <c r="AF23">
        <v>2</v>
      </c>
      <c r="AG23">
        <v>1</v>
      </c>
      <c r="AH23">
        <f>SUM(AE23:AG23)</f>
        <v>4</v>
      </c>
      <c r="AI23" s="10">
        <f>AVERAGE(AE23:AG23)</f>
        <v>1.3333333333333333</v>
      </c>
      <c r="AJ23">
        <v>3</v>
      </c>
      <c r="AK23">
        <v>3</v>
      </c>
      <c r="AL23">
        <v>1</v>
      </c>
      <c r="AM23">
        <v>3</v>
      </c>
      <c r="AN23">
        <f>SUM(AJ23:AM23)</f>
        <v>10</v>
      </c>
      <c r="AO23" s="10">
        <f>AVERAGE(AJ23:AM23)</f>
        <v>2.5</v>
      </c>
      <c r="AP23" t="s">
        <v>95</v>
      </c>
      <c r="AQ23" t="s">
        <v>61</v>
      </c>
      <c r="AR23" s="10">
        <f>AVERAGE(E23:I23,L23:O23,R23:T23,W23:AB23,AE23:AG23,AJ23:AM23)</f>
        <v>3.1818181818181817</v>
      </c>
      <c r="AS23" s="10">
        <f>_xlfn.STDEV.S(E23:I23,L23:O23,R23:T23,W23:AB23)</f>
        <v>1.2798809468443688</v>
      </c>
      <c r="AT23" s="10">
        <f>AVERAGE(AE23:AG23)</f>
        <v>1.3333333333333333</v>
      </c>
      <c r="AU23" s="10">
        <f>_xlfn.STDEV.S(AE23:AG23)</f>
        <v>0.57735026918962584</v>
      </c>
      <c r="AV23" s="10">
        <f>AVERAGE(AJ23:AM23)</f>
        <v>2.5</v>
      </c>
      <c r="AW23" s="10">
        <f>_xlfn.STDEV.S(AJ23:AM23)</f>
        <v>1</v>
      </c>
      <c r="AX23" s="10">
        <f>AVERAGE(AR23,AT23,AV23)</f>
        <v>2.3383838383838382</v>
      </c>
      <c r="AY23" s="10">
        <f>_xlfn.STDEV.S(E23:I23,L23:O23,R23:T23,W23:AB23,AE23:AG23,AJ23:AM23)</f>
        <v>1.435481125130547</v>
      </c>
      <c r="AZ23">
        <f>_xlfn.RANK.AVG(AR23, $AR$3:$AR$76, 1)</f>
        <v>31</v>
      </c>
      <c r="BA23">
        <f>_xlfn.RANK.AVG(AT23, $AT$3:$AT$76, 1)</f>
        <v>23.5</v>
      </c>
      <c r="BB23">
        <f>_xlfn.RANK.AVG(AV23, $AV$3:$AV$76, 1)</f>
        <v>40</v>
      </c>
    </row>
    <row r="24" spans="1:54" ht="14.5" hidden="1" x14ac:dyDescent="0.35">
      <c r="A24" t="s">
        <v>52</v>
      </c>
      <c r="B24" t="s">
        <v>53</v>
      </c>
      <c r="C24">
        <v>4.3</v>
      </c>
      <c r="D24" t="s">
        <v>96</v>
      </c>
      <c r="AP24" t="s">
        <v>69</v>
      </c>
      <c r="AR24" s="10"/>
    </row>
    <row r="25" spans="1:54" ht="14.5" x14ac:dyDescent="0.35">
      <c r="A25" t="s">
        <v>52</v>
      </c>
      <c r="B25">
        <v>4.5</v>
      </c>
      <c r="C25">
        <v>4.2</v>
      </c>
      <c r="D25" t="s">
        <v>97</v>
      </c>
      <c r="E25">
        <v>3</v>
      </c>
      <c r="F25">
        <v>3</v>
      </c>
      <c r="G25">
        <v>3</v>
      </c>
      <c r="H25">
        <v>3</v>
      </c>
      <c r="I25">
        <v>3</v>
      </c>
      <c r="J25">
        <f>SUM(E25:I25)</f>
        <v>15</v>
      </c>
      <c r="K25" s="13">
        <f>AVERAGE(E25:I25)</f>
        <v>3</v>
      </c>
      <c r="L25">
        <v>5</v>
      </c>
      <c r="M25">
        <v>5</v>
      </c>
      <c r="N25">
        <v>5</v>
      </c>
      <c r="O25">
        <v>5</v>
      </c>
      <c r="P25">
        <f>SUM(L25:O25)</f>
        <v>20</v>
      </c>
      <c r="Q25" s="10">
        <f>AVERAGE(L25:O25)</f>
        <v>5</v>
      </c>
      <c r="R25">
        <v>4</v>
      </c>
      <c r="S25">
        <v>4</v>
      </c>
      <c r="T25">
        <v>4</v>
      </c>
      <c r="U25">
        <f>SUM(R25:T25)</f>
        <v>12</v>
      </c>
      <c r="V25" s="10">
        <f>AVERAGE(R25:T25)</f>
        <v>4</v>
      </c>
      <c r="W25">
        <v>4</v>
      </c>
      <c r="X25">
        <v>3</v>
      </c>
      <c r="Y25" t="s">
        <v>53</v>
      </c>
      <c r="Z25" t="s">
        <v>53</v>
      </c>
      <c r="AA25">
        <v>3</v>
      </c>
      <c r="AB25">
        <v>1</v>
      </c>
      <c r="AC25">
        <f>SUM(W25:AB25)</f>
        <v>11</v>
      </c>
      <c r="AD25" s="10">
        <f>AVERAGE(W25:AB25)</f>
        <v>2.75</v>
      </c>
      <c r="AE25">
        <v>1</v>
      </c>
      <c r="AF25">
        <v>3</v>
      </c>
      <c r="AG25">
        <v>1</v>
      </c>
      <c r="AH25">
        <f>SUM(AE25:AG25)</f>
        <v>5</v>
      </c>
      <c r="AI25" s="10">
        <f>AVERAGE(AE25:AG25)</f>
        <v>1.6666666666666667</v>
      </c>
      <c r="AJ25">
        <v>2</v>
      </c>
      <c r="AK25">
        <v>2</v>
      </c>
      <c r="AL25">
        <v>1</v>
      </c>
      <c r="AM25">
        <v>3</v>
      </c>
      <c r="AN25">
        <f>SUM(AJ25:AM25)</f>
        <v>8</v>
      </c>
      <c r="AO25" s="10">
        <f>AVERAGE(AJ25:AM25)</f>
        <v>2</v>
      </c>
      <c r="AP25" t="s">
        <v>98</v>
      </c>
      <c r="AQ25" t="s">
        <v>61</v>
      </c>
      <c r="AR25" s="10">
        <f>AVERAGE(E25:I25,L25:O25,R25:T25,W25:AB25,AE25:AG25)</f>
        <v>3.3157894736842106</v>
      </c>
      <c r="AS25" s="10">
        <f>_xlfn.STDEV.S(E25:I25,L25:O25,R25:T25,W25:AB25)</f>
        <v>1.0878112581387147</v>
      </c>
      <c r="AT25" s="10">
        <f>AVERAGE(AE25:AG25)</f>
        <v>1.6666666666666667</v>
      </c>
      <c r="AU25" s="10">
        <f>_xlfn.STDEV.S(AE25:AG25)</f>
        <v>1.1547005383792515</v>
      </c>
      <c r="AV25" s="10">
        <f>AVERAGE(AJ25:AM25)</f>
        <v>2</v>
      </c>
      <c r="AW25" s="10">
        <f>_xlfn.STDEV.S(AJ25:AM25)</f>
        <v>0.81649658092772603</v>
      </c>
      <c r="AX25" s="10">
        <f>AVERAGE(AR25,AT25,AV25)</f>
        <v>2.327485380116959</v>
      </c>
      <c r="AY25" s="10">
        <f>_xlfn.STDEV.S(E25:I25,L25:O25,R25:T25,W25:AB25,AE25:AG25,AJ25:AM25)</f>
        <v>1.3112465782349279</v>
      </c>
      <c r="AZ25">
        <f>_xlfn.RANK.AVG(AR25, $AR$3:$AR$76, 1)</f>
        <v>37</v>
      </c>
      <c r="BA25">
        <f>_xlfn.RANK.AVG(AT25, $AT$3:$AT$76, 1)</f>
        <v>39.5</v>
      </c>
      <c r="BB25">
        <f>_xlfn.RANK.AVG(AV25, $AV$3:$AV$76, 1)</f>
        <v>26</v>
      </c>
    </row>
    <row r="26" spans="1:54" ht="14.5" hidden="1" x14ac:dyDescent="0.35">
      <c r="A26" t="s">
        <v>52</v>
      </c>
      <c r="D26" t="s">
        <v>99</v>
      </c>
      <c r="AP26" t="s">
        <v>69</v>
      </c>
      <c r="AR26" s="10"/>
    </row>
    <row r="27" spans="1:54" ht="14.5" hidden="1" x14ac:dyDescent="0.35">
      <c r="A27" t="s">
        <v>52</v>
      </c>
      <c r="D27" t="s">
        <v>100</v>
      </c>
      <c r="AP27" t="s">
        <v>69</v>
      </c>
      <c r="AR27" s="10"/>
    </row>
    <row r="28" spans="1:54" ht="14.5" x14ac:dyDescent="0.35">
      <c r="A28" t="s">
        <v>48</v>
      </c>
      <c r="B28" t="s">
        <v>53</v>
      </c>
      <c r="D28" t="s">
        <v>101</v>
      </c>
      <c r="E28">
        <v>4</v>
      </c>
      <c r="F28">
        <v>4</v>
      </c>
      <c r="G28">
        <v>2</v>
      </c>
      <c r="H28">
        <v>2</v>
      </c>
      <c r="I28">
        <v>5</v>
      </c>
      <c r="J28">
        <f>SUM(E28:I28)</f>
        <v>17</v>
      </c>
      <c r="K28" s="13">
        <f>AVERAGE(E28:I28)</f>
        <v>3.4</v>
      </c>
      <c r="L28">
        <v>5</v>
      </c>
      <c r="M28">
        <v>4</v>
      </c>
      <c r="N28">
        <v>5</v>
      </c>
      <c r="O28">
        <v>3</v>
      </c>
      <c r="P28">
        <f>SUM(L28:O28)</f>
        <v>17</v>
      </c>
      <c r="Q28" s="10">
        <f>AVERAGE(L28:O28)</f>
        <v>4.25</v>
      </c>
      <c r="R28">
        <v>3</v>
      </c>
      <c r="S28">
        <v>5</v>
      </c>
      <c r="T28">
        <v>4</v>
      </c>
      <c r="U28">
        <f>SUM(R28:T28)</f>
        <v>12</v>
      </c>
      <c r="V28" s="10">
        <f>AVERAGE(R28:T28)</f>
        <v>4</v>
      </c>
      <c r="W28">
        <v>5</v>
      </c>
      <c r="X28">
        <v>3</v>
      </c>
      <c r="Y28" t="s">
        <v>53</v>
      </c>
      <c r="Z28" t="s">
        <v>53</v>
      </c>
      <c r="AA28" t="s">
        <v>53</v>
      </c>
      <c r="AB28">
        <v>1</v>
      </c>
      <c r="AC28">
        <f>SUM(W28:AB28)</f>
        <v>9</v>
      </c>
      <c r="AD28" s="10">
        <f>AVERAGE(W28:AB28)</f>
        <v>3</v>
      </c>
      <c r="AE28">
        <v>1</v>
      </c>
      <c r="AF28">
        <v>2</v>
      </c>
      <c r="AG28">
        <v>1</v>
      </c>
      <c r="AH28">
        <f>SUM(AE28:AG28)</f>
        <v>4</v>
      </c>
      <c r="AI28" s="10">
        <f>AVERAGE(AE28:AG28)</f>
        <v>1.3333333333333333</v>
      </c>
      <c r="AJ28">
        <v>3</v>
      </c>
      <c r="AK28">
        <v>3</v>
      </c>
      <c r="AL28">
        <v>1</v>
      </c>
      <c r="AM28">
        <v>3</v>
      </c>
      <c r="AN28">
        <f>SUM(AJ28:AM28)</f>
        <v>10</v>
      </c>
      <c r="AO28" s="10">
        <f>AVERAGE(AJ28:AM28)</f>
        <v>2.5</v>
      </c>
      <c r="AP28" t="s">
        <v>102</v>
      </c>
      <c r="AQ28" t="s">
        <v>61</v>
      </c>
      <c r="AR28" s="10">
        <f>AVERAGE(E28:I28,L28:O28,R28:T28,W28:AB28,AE28:AG28,AJ28:AM28)</f>
        <v>3.1363636363636362</v>
      </c>
      <c r="AS28" s="10">
        <f>_xlfn.STDEV.S(E28:I28,L28:O28,R28:T28,W28:AB28)</f>
        <v>1.2909944487358058</v>
      </c>
      <c r="AT28" s="10">
        <f>AVERAGE(AE28:AG28)</f>
        <v>1.3333333333333333</v>
      </c>
      <c r="AU28" s="10">
        <f>_xlfn.STDEV.S(AE28:AG28)</f>
        <v>0.57735026918962584</v>
      </c>
      <c r="AV28" s="10">
        <f>AVERAGE(AJ28:AM28)</f>
        <v>2.5</v>
      </c>
      <c r="AW28" s="10">
        <f>_xlfn.STDEV.S(AJ28:AM28)</f>
        <v>1</v>
      </c>
      <c r="AX28" s="10">
        <f>AVERAGE(AR28,AT28,AV28)</f>
        <v>2.3232323232323231</v>
      </c>
      <c r="AY28" s="10">
        <f t="shared" ref="AY28:AY29" si="25">_xlfn.STDEV.S(E28:I28,L28:O28,R28:T28,W28:AB28,AE28:AG28,AJ28:AM28)</f>
        <v>1.4241272864946195</v>
      </c>
      <c r="AZ28">
        <f>_xlfn.RANK.AVG(AR28, $AR$3:$AR$76, 1)</f>
        <v>28</v>
      </c>
      <c r="BA28">
        <f>_xlfn.RANK.AVG(AT28, $AT$3:$AT$76, 1)</f>
        <v>23.5</v>
      </c>
      <c r="BB28">
        <f>_xlfn.RANK.AVG(AV28, $AV$3:$AV$76, 1)</f>
        <v>40</v>
      </c>
    </row>
    <row r="29" spans="1:54" ht="14.5" x14ac:dyDescent="0.35">
      <c r="A29" t="s">
        <v>48</v>
      </c>
      <c r="B29">
        <v>4.5999999999999996</v>
      </c>
      <c r="D29" t="s">
        <v>103</v>
      </c>
      <c r="E29">
        <v>2</v>
      </c>
      <c r="F29">
        <v>3</v>
      </c>
      <c r="G29">
        <v>4</v>
      </c>
      <c r="H29">
        <v>3</v>
      </c>
      <c r="I29">
        <v>5</v>
      </c>
      <c r="J29">
        <f>SUM(E29:I29)</f>
        <v>17</v>
      </c>
      <c r="K29" s="13">
        <f>AVERAGE(E29:I29)</f>
        <v>3.4</v>
      </c>
      <c r="L29">
        <v>5</v>
      </c>
      <c r="M29">
        <v>5</v>
      </c>
      <c r="N29">
        <v>4</v>
      </c>
      <c r="O29">
        <v>5</v>
      </c>
      <c r="P29">
        <f>SUM(L29:O29)</f>
        <v>19</v>
      </c>
      <c r="Q29" s="10">
        <f>AVERAGE(L29:O29)</f>
        <v>4.75</v>
      </c>
      <c r="R29">
        <v>5</v>
      </c>
      <c r="S29">
        <v>4</v>
      </c>
      <c r="T29">
        <v>4</v>
      </c>
      <c r="U29">
        <f>SUM(R29:T29)</f>
        <v>13</v>
      </c>
      <c r="V29" s="10">
        <f>AVERAGE(R29:T29)</f>
        <v>4.333333333333333</v>
      </c>
      <c r="W29">
        <v>4</v>
      </c>
      <c r="X29">
        <v>3</v>
      </c>
      <c r="Y29">
        <v>3</v>
      </c>
      <c r="Z29">
        <v>4</v>
      </c>
      <c r="AA29">
        <v>3</v>
      </c>
      <c r="AB29">
        <v>1</v>
      </c>
      <c r="AC29">
        <f>SUM(W29:AB29)</f>
        <v>18</v>
      </c>
      <c r="AD29" s="10">
        <f>AVERAGE(W29:AB29)</f>
        <v>3</v>
      </c>
      <c r="AE29">
        <v>1</v>
      </c>
      <c r="AF29">
        <v>2</v>
      </c>
      <c r="AG29">
        <v>1</v>
      </c>
      <c r="AH29">
        <f>SUM(AE29:AG29)</f>
        <v>4</v>
      </c>
      <c r="AI29" s="10">
        <f>AVERAGE(AE29:AG29)</f>
        <v>1.3333333333333333</v>
      </c>
      <c r="AJ29">
        <v>2</v>
      </c>
      <c r="AK29">
        <v>3</v>
      </c>
      <c r="AL29">
        <v>1</v>
      </c>
      <c r="AM29">
        <v>3</v>
      </c>
      <c r="AN29">
        <f>SUM(AJ29:AM29)</f>
        <v>9</v>
      </c>
      <c r="AO29" s="10">
        <f>AVERAGE(AJ29:AM29)</f>
        <v>2.25</v>
      </c>
      <c r="AP29" t="s">
        <v>104</v>
      </c>
      <c r="AQ29" t="s">
        <v>61</v>
      </c>
      <c r="AR29" s="10">
        <f>AVERAGE(E29:I29,L29:O29,R29:T29,W29:AB29,AE29:AG29)</f>
        <v>3.3809523809523809</v>
      </c>
      <c r="AS29" s="10">
        <f>_xlfn.STDEV.S(E29:I29,L29:O29,R29:T29,W29:AB29)</f>
        <v>1.1274936053323583</v>
      </c>
      <c r="AT29" s="10">
        <f>AVERAGE(AE29:AG29)</f>
        <v>1.3333333333333333</v>
      </c>
      <c r="AU29" s="10">
        <f>_xlfn.STDEV.S(AE29:AG29)</f>
        <v>0.57735026918962584</v>
      </c>
      <c r="AV29" s="10">
        <f>AVERAGE(AJ29:AM29)</f>
        <v>2.25</v>
      </c>
      <c r="AW29" s="10">
        <f>_xlfn.STDEV.S(AJ29:AM29)</f>
        <v>0.9574271077563381</v>
      </c>
      <c r="AX29" s="10">
        <f>AVERAGE(AR29,AT29,AV29)</f>
        <v>2.3214285714285716</v>
      </c>
      <c r="AY29" s="10">
        <f t="shared" si="25"/>
        <v>1.35400640077266</v>
      </c>
      <c r="AZ29">
        <f>_xlfn.RANK.AVG(AR29, $AR$3:$AR$76, 1)</f>
        <v>39</v>
      </c>
      <c r="BA29">
        <f>_xlfn.RANK.AVG(AT29, $AT$3:$AT$76, 1)</f>
        <v>23.5</v>
      </c>
      <c r="BB29">
        <f>_xlfn.RANK.AVG(AV29, $AV$3:$AV$76, 1)</f>
        <v>34</v>
      </c>
    </row>
    <row r="30" spans="1:54" ht="14.5" hidden="1" x14ac:dyDescent="0.35">
      <c r="A30" t="s">
        <v>48</v>
      </c>
      <c r="D30" t="s">
        <v>105</v>
      </c>
      <c r="AP30" t="s">
        <v>106</v>
      </c>
      <c r="AR30" s="10"/>
    </row>
    <row r="31" spans="1:54" ht="14.5" hidden="1" x14ac:dyDescent="0.35">
      <c r="A31" t="s">
        <v>48</v>
      </c>
      <c r="D31" t="s">
        <v>107</v>
      </c>
      <c r="AP31" t="s">
        <v>108</v>
      </c>
      <c r="AR31" s="10"/>
    </row>
    <row r="32" spans="1:54" ht="14.5" x14ac:dyDescent="0.35">
      <c r="A32" t="s">
        <v>52</v>
      </c>
      <c r="B32">
        <v>2.5</v>
      </c>
      <c r="C32">
        <v>3.4</v>
      </c>
      <c r="D32" t="s">
        <v>109</v>
      </c>
      <c r="E32">
        <v>2</v>
      </c>
      <c r="F32">
        <v>2</v>
      </c>
      <c r="G32">
        <v>3</v>
      </c>
      <c r="H32">
        <v>3</v>
      </c>
      <c r="I32">
        <v>4</v>
      </c>
      <c r="J32">
        <f t="shared" ref="J32:J39" si="26">SUM(E32:I32)</f>
        <v>14</v>
      </c>
      <c r="K32" s="13">
        <f t="shared" ref="K32:K39" si="27">AVERAGE(E32:I32)</f>
        <v>2.8</v>
      </c>
      <c r="L32">
        <v>4</v>
      </c>
      <c r="M32">
        <v>4</v>
      </c>
      <c r="N32">
        <v>5</v>
      </c>
      <c r="O32">
        <v>5</v>
      </c>
      <c r="P32">
        <f t="shared" ref="P32:P39" si="28">SUM(L32:O32)</f>
        <v>18</v>
      </c>
      <c r="Q32" s="10">
        <f t="shared" ref="Q32:Q39" si="29">AVERAGE(L32:O32)</f>
        <v>4.5</v>
      </c>
      <c r="R32">
        <v>5</v>
      </c>
      <c r="S32">
        <v>4</v>
      </c>
      <c r="T32">
        <v>4</v>
      </c>
      <c r="U32">
        <f t="shared" ref="U32:U39" si="30">SUM(R32:T32)</f>
        <v>13</v>
      </c>
      <c r="V32" s="10">
        <f t="shared" ref="V32:V39" si="31">AVERAGE(R32:T32)</f>
        <v>4.333333333333333</v>
      </c>
      <c r="W32">
        <v>5</v>
      </c>
      <c r="X32">
        <v>4</v>
      </c>
      <c r="Y32" t="s">
        <v>53</v>
      </c>
      <c r="Z32" t="s">
        <v>53</v>
      </c>
      <c r="AA32">
        <v>4</v>
      </c>
      <c r="AB32">
        <v>3</v>
      </c>
      <c r="AC32">
        <f t="shared" ref="AC32:AC39" si="32">SUM(W32:AB32)</f>
        <v>16</v>
      </c>
      <c r="AD32" s="10">
        <f t="shared" ref="AD32:AD39" si="33">AVERAGE(W32:AB32)</f>
        <v>4</v>
      </c>
      <c r="AE32">
        <v>1</v>
      </c>
      <c r="AF32">
        <v>3</v>
      </c>
      <c r="AG32">
        <v>1</v>
      </c>
      <c r="AH32">
        <f t="shared" ref="AH32:AH39" si="34">SUM(AE32:AG32)</f>
        <v>5</v>
      </c>
      <c r="AI32" s="10">
        <f t="shared" ref="AI32:AI39" si="35">AVERAGE(AE32:AG32)</f>
        <v>1.6666666666666667</v>
      </c>
      <c r="AJ32">
        <v>2</v>
      </c>
      <c r="AK32">
        <v>1</v>
      </c>
      <c r="AL32">
        <v>1</v>
      </c>
      <c r="AM32">
        <v>3</v>
      </c>
      <c r="AN32">
        <f t="shared" ref="AN32:AN39" si="36">SUM(AJ32:AM32)</f>
        <v>7</v>
      </c>
      <c r="AO32" s="10">
        <f t="shared" ref="AO32:AO39" si="37">AVERAGE(AJ32:AM32)</f>
        <v>1.75</v>
      </c>
      <c r="AP32" t="s">
        <v>110</v>
      </c>
      <c r="AQ32" t="s">
        <v>61</v>
      </c>
      <c r="AR32" s="10">
        <f>AVERAGE(E32:I32,L32:O32,R32:T32,W32:AB32,AE32:AG32)</f>
        <v>3.4736842105263159</v>
      </c>
      <c r="AS32" s="10">
        <f t="shared" ref="AS32:AS39" si="38">_xlfn.STDEV.S(E32:I32,L32:O32,R32:T32,W32:AB32)</f>
        <v>0.98107084351742924</v>
      </c>
      <c r="AT32" s="10">
        <f t="shared" ref="AT32:AT39" si="39">AVERAGE(AE32:AG32)</f>
        <v>1.6666666666666667</v>
      </c>
      <c r="AU32" s="10">
        <f t="shared" ref="AU32:AU39" si="40">_xlfn.STDEV.S(AE32:AG32)</f>
        <v>1.1547005383792515</v>
      </c>
      <c r="AV32" s="10">
        <f t="shared" ref="AV32:AV39" si="41">AVERAGE(AJ32:AM32)</f>
        <v>1.75</v>
      </c>
      <c r="AW32" s="10">
        <f t="shared" ref="AW32:AW39" si="42">_xlfn.STDEV.S(AJ32:AM32)</f>
        <v>0.9574271077563381</v>
      </c>
      <c r="AX32" s="10">
        <f t="shared" ref="AX32:AX39" si="43">AVERAGE(AR32,AT32,AV32)</f>
        <v>2.2967836257309941</v>
      </c>
      <c r="AY32" s="10">
        <f t="shared" ref="AY32:AY39" si="44">_xlfn.STDEV.S(E32:I32,L32:O32,R32:T32,W32:AB32,AE32:AG32,AJ32:AM32)</f>
        <v>1.3702081432144628</v>
      </c>
      <c r="AZ32">
        <f t="shared" ref="AZ32:AZ39" si="45">_xlfn.RANK.AVG(AR32, $AR$3:$AR$76, 1)</f>
        <v>44</v>
      </c>
      <c r="BA32">
        <f t="shared" ref="BA32:BA39" si="46">_xlfn.RANK.AVG(AT32, $AT$3:$AT$76, 1)</f>
        <v>39.5</v>
      </c>
      <c r="BB32">
        <f t="shared" ref="BB32:BB39" si="47">_xlfn.RANK.AVG(AV32, $AV$3:$AV$76, 1)</f>
        <v>19.5</v>
      </c>
    </row>
    <row r="33" spans="1:54" ht="14.5" x14ac:dyDescent="0.35">
      <c r="A33" t="s">
        <v>52</v>
      </c>
      <c r="B33">
        <v>4.5999999999999996</v>
      </c>
      <c r="C33">
        <v>4.0999999999999996</v>
      </c>
      <c r="D33" t="s">
        <v>111</v>
      </c>
      <c r="E33">
        <v>1</v>
      </c>
      <c r="F33">
        <v>1</v>
      </c>
      <c r="G33">
        <v>3</v>
      </c>
      <c r="H33">
        <v>3</v>
      </c>
      <c r="I33">
        <v>5</v>
      </c>
      <c r="J33">
        <f t="shared" si="26"/>
        <v>13</v>
      </c>
      <c r="K33" s="13">
        <f t="shared" si="27"/>
        <v>2.6</v>
      </c>
      <c r="L33">
        <v>5</v>
      </c>
      <c r="M33">
        <v>4</v>
      </c>
      <c r="N33">
        <v>5</v>
      </c>
      <c r="O33">
        <v>4</v>
      </c>
      <c r="P33">
        <f t="shared" si="28"/>
        <v>18</v>
      </c>
      <c r="Q33" s="10">
        <f t="shared" si="29"/>
        <v>4.5</v>
      </c>
      <c r="R33">
        <v>4</v>
      </c>
      <c r="S33">
        <v>5</v>
      </c>
      <c r="T33">
        <v>4</v>
      </c>
      <c r="U33">
        <f t="shared" si="30"/>
        <v>13</v>
      </c>
      <c r="V33" s="10">
        <f t="shared" si="31"/>
        <v>4.333333333333333</v>
      </c>
      <c r="W33">
        <v>5</v>
      </c>
      <c r="X33">
        <v>3</v>
      </c>
      <c r="Y33">
        <v>3</v>
      </c>
      <c r="Z33">
        <v>3</v>
      </c>
      <c r="AA33">
        <v>3</v>
      </c>
      <c r="AB33">
        <v>4</v>
      </c>
      <c r="AC33">
        <f t="shared" si="32"/>
        <v>21</v>
      </c>
      <c r="AD33" s="10">
        <f t="shared" si="33"/>
        <v>3.5</v>
      </c>
      <c r="AE33">
        <v>1</v>
      </c>
      <c r="AF33">
        <v>2</v>
      </c>
      <c r="AG33">
        <v>1</v>
      </c>
      <c r="AH33">
        <f t="shared" si="34"/>
        <v>4</v>
      </c>
      <c r="AI33" s="10">
        <f t="shared" si="35"/>
        <v>1.3333333333333333</v>
      </c>
      <c r="AJ33">
        <v>2</v>
      </c>
      <c r="AK33">
        <v>3</v>
      </c>
      <c r="AL33">
        <v>1</v>
      </c>
      <c r="AM33">
        <v>3</v>
      </c>
      <c r="AN33">
        <f t="shared" si="36"/>
        <v>9</v>
      </c>
      <c r="AO33" s="10">
        <f t="shared" si="37"/>
        <v>2.25</v>
      </c>
      <c r="AP33" t="s">
        <v>112</v>
      </c>
      <c r="AQ33" t="s">
        <v>61</v>
      </c>
      <c r="AR33" s="10">
        <f>AVERAGE(E33:I33,L33:O33,R33:T33,W33:AB33,AE33:AG33)</f>
        <v>3.2857142857142856</v>
      </c>
      <c r="AS33" s="10">
        <f t="shared" si="38"/>
        <v>1.2432826042324117</v>
      </c>
      <c r="AT33" s="10">
        <f t="shared" si="39"/>
        <v>1.3333333333333333</v>
      </c>
      <c r="AU33" s="10">
        <f t="shared" si="40"/>
        <v>0.57735026918962584</v>
      </c>
      <c r="AV33" s="10">
        <f t="shared" si="41"/>
        <v>2.25</v>
      </c>
      <c r="AW33" s="10">
        <f t="shared" si="42"/>
        <v>0.9574271077563381</v>
      </c>
      <c r="AX33" s="10">
        <f t="shared" si="43"/>
        <v>2.2896825396825395</v>
      </c>
      <c r="AY33" s="10">
        <f t="shared" si="44"/>
        <v>1.394034911088432</v>
      </c>
      <c r="AZ33">
        <f t="shared" si="45"/>
        <v>36</v>
      </c>
      <c r="BA33">
        <f t="shared" si="46"/>
        <v>23.5</v>
      </c>
      <c r="BB33">
        <f t="shared" si="47"/>
        <v>34</v>
      </c>
    </row>
    <row r="34" spans="1:54" ht="14.5" x14ac:dyDescent="0.35">
      <c r="A34" t="s">
        <v>48</v>
      </c>
      <c r="B34" t="s">
        <v>53</v>
      </c>
      <c r="D34" t="s">
        <v>113</v>
      </c>
      <c r="E34">
        <v>3</v>
      </c>
      <c r="F34">
        <v>3</v>
      </c>
      <c r="G34">
        <v>2</v>
      </c>
      <c r="H34">
        <v>4</v>
      </c>
      <c r="I34">
        <v>3</v>
      </c>
      <c r="J34">
        <f t="shared" si="26"/>
        <v>15</v>
      </c>
      <c r="K34" s="13">
        <f t="shared" si="27"/>
        <v>3</v>
      </c>
      <c r="L34">
        <v>5</v>
      </c>
      <c r="M34">
        <v>5</v>
      </c>
      <c r="N34">
        <v>5</v>
      </c>
      <c r="O34">
        <v>5</v>
      </c>
      <c r="P34">
        <f t="shared" si="28"/>
        <v>20</v>
      </c>
      <c r="Q34" s="10">
        <f t="shared" si="29"/>
        <v>5</v>
      </c>
      <c r="R34">
        <v>4</v>
      </c>
      <c r="S34">
        <v>4</v>
      </c>
      <c r="T34">
        <v>4</v>
      </c>
      <c r="U34">
        <f t="shared" si="30"/>
        <v>12</v>
      </c>
      <c r="V34" s="10">
        <f t="shared" si="31"/>
        <v>4</v>
      </c>
      <c r="W34">
        <v>4</v>
      </c>
      <c r="X34">
        <v>3</v>
      </c>
      <c r="Y34">
        <v>1</v>
      </c>
      <c r="Z34">
        <v>1</v>
      </c>
      <c r="AA34">
        <v>3</v>
      </c>
      <c r="AB34">
        <v>1</v>
      </c>
      <c r="AC34">
        <f t="shared" si="32"/>
        <v>13</v>
      </c>
      <c r="AD34" s="10">
        <f t="shared" si="33"/>
        <v>2.1666666666666665</v>
      </c>
      <c r="AE34">
        <v>1</v>
      </c>
      <c r="AF34">
        <v>2</v>
      </c>
      <c r="AG34">
        <v>1</v>
      </c>
      <c r="AH34">
        <f t="shared" si="34"/>
        <v>4</v>
      </c>
      <c r="AI34" s="10">
        <f t="shared" si="35"/>
        <v>1.3333333333333333</v>
      </c>
      <c r="AJ34">
        <v>3</v>
      </c>
      <c r="AK34">
        <v>3</v>
      </c>
      <c r="AL34">
        <v>1</v>
      </c>
      <c r="AM34">
        <v>3</v>
      </c>
      <c r="AN34">
        <f t="shared" si="36"/>
        <v>10</v>
      </c>
      <c r="AO34" s="10">
        <f t="shared" si="37"/>
        <v>2.5</v>
      </c>
      <c r="AP34" t="s">
        <v>114</v>
      </c>
      <c r="AQ34" t="s">
        <v>61</v>
      </c>
      <c r="AR34" s="10">
        <f>AVERAGE(E34:I34,L34:O34,R34:T34,W34:AB34,AE34:AG34,AJ34:AM34)</f>
        <v>2.96</v>
      </c>
      <c r="AS34" s="10">
        <f t="shared" si="38"/>
        <v>1.3719886811400708</v>
      </c>
      <c r="AT34" s="10">
        <f t="shared" si="39"/>
        <v>1.3333333333333333</v>
      </c>
      <c r="AU34" s="10">
        <f t="shared" si="40"/>
        <v>0.57735026918962584</v>
      </c>
      <c r="AV34" s="10">
        <f t="shared" si="41"/>
        <v>2.5</v>
      </c>
      <c r="AW34" s="10">
        <f t="shared" si="42"/>
        <v>1</v>
      </c>
      <c r="AX34" s="10">
        <f t="shared" si="43"/>
        <v>2.2644444444444445</v>
      </c>
      <c r="AY34" s="10">
        <f t="shared" si="44"/>
        <v>1.3988090172238192</v>
      </c>
      <c r="AZ34">
        <f t="shared" si="45"/>
        <v>23</v>
      </c>
      <c r="BA34">
        <f t="shared" si="46"/>
        <v>23.5</v>
      </c>
      <c r="BB34">
        <f t="shared" si="47"/>
        <v>40</v>
      </c>
    </row>
    <row r="35" spans="1:54" ht="14.5" x14ac:dyDescent="0.35">
      <c r="A35" t="s">
        <v>58</v>
      </c>
      <c r="C35" t="s">
        <v>53</v>
      </c>
      <c r="D35" t="s">
        <v>115</v>
      </c>
      <c r="E35">
        <v>3</v>
      </c>
      <c r="F35">
        <v>2</v>
      </c>
      <c r="G35">
        <v>3</v>
      </c>
      <c r="H35">
        <v>3</v>
      </c>
      <c r="I35">
        <v>5</v>
      </c>
      <c r="J35">
        <f t="shared" si="26"/>
        <v>16</v>
      </c>
      <c r="K35" s="13">
        <f t="shared" si="27"/>
        <v>3.2</v>
      </c>
      <c r="L35">
        <v>5</v>
      </c>
      <c r="M35">
        <v>5</v>
      </c>
      <c r="N35">
        <v>5</v>
      </c>
      <c r="O35">
        <v>5</v>
      </c>
      <c r="P35">
        <f t="shared" si="28"/>
        <v>20</v>
      </c>
      <c r="Q35" s="10">
        <f t="shared" si="29"/>
        <v>5</v>
      </c>
      <c r="R35">
        <v>4</v>
      </c>
      <c r="S35">
        <v>4</v>
      </c>
      <c r="T35">
        <v>4</v>
      </c>
      <c r="U35">
        <f t="shared" si="30"/>
        <v>12</v>
      </c>
      <c r="V35" s="10">
        <f t="shared" si="31"/>
        <v>4</v>
      </c>
      <c r="W35">
        <v>4</v>
      </c>
      <c r="X35">
        <v>3</v>
      </c>
      <c r="Y35">
        <v>1</v>
      </c>
      <c r="Z35">
        <v>1</v>
      </c>
      <c r="AA35">
        <v>3</v>
      </c>
      <c r="AB35">
        <v>1</v>
      </c>
      <c r="AC35">
        <f t="shared" si="32"/>
        <v>13</v>
      </c>
      <c r="AD35" s="10">
        <f t="shared" si="33"/>
        <v>2.1666666666666665</v>
      </c>
      <c r="AE35">
        <v>1</v>
      </c>
      <c r="AF35">
        <v>2</v>
      </c>
      <c r="AG35">
        <v>1</v>
      </c>
      <c r="AH35">
        <f t="shared" si="34"/>
        <v>4</v>
      </c>
      <c r="AI35" s="10">
        <f t="shared" si="35"/>
        <v>1.3333333333333333</v>
      </c>
      <c r="AJ35">
        <v>2</v>
      </c>
      <c r="AK35">
        <v>3</v>
      </c>
      <c r="AL35">
        <v>1</v>
      </c>
      <c r="AM35">
        <v>3</v>
      </c>
      <c r="AN35">
        <f t="shared" si="36"/>
        <v>9</v>
      </c>
      <c r="AO35" s="10">
        <f t="shared" si="37"/>
        <v>2.25</v>
      </c>
      <c r="AP35" t="s">
        <v>116</v>
      </c>
      <c r="AQ35" t="s">
        <v>61</v>
      </c>
      <c r="AR35" s="10">
        <f>AVERAGE(E35:I35,L35:O35,R35:T35,W35:AB35,AE35:AG35)</f>
        <v>3.0952380952380953</v>
      </c>
      <c r="AS35" s="10">
        <f t="shared" si="38"/>
        <v>1.4199788270537859</v>
      </c>
      <c r="AT35" s="10">
        <f t="shared" si="39"/>
        <v>1.3333333333333333</v>
      </c>
      <c r="AU35" s="10">
        <f t="shared" si="40"/>
        <v>0.57735026918962584</v>
      </c>
      <c r="AV35" s="10">
        <f t="shared" si="41"/>
        <v>2.25</v>
      </c>
      <c r="AW35" s="10">
        <f t="shared" si="42"/>
        <v>0.9574271077563381</v>
      </c>
      <c r="AX35" s="10">
        <f t="shared" si="43"/>
        <v>2.2261904761904763</v>
      </c>
      <c r="AY35" s="10">
        <f t="shared" si="44"/>
        <v>1.457166199626293</v>
      </c>
      <c r="AZ35">
        <f t="shared" si="45"/>
        <v>27</v>
      </c>
      <c r="BA35">
        <f t="shared" si="46"/>
        <v>23.5</v>
      </c>
      <c r="BB35">
        <f t="shared" si="47"/>
        <v>34</v>
      </c>
    </row>
    <row r="36" spans="1:54" ht="14.5" x14ac:dyDescent="0.35">
      <c r="A36" t="s">
        <v>48</v>
      </c>
      <c r="B36" t="s">
        <v>53</v>
      </c>
      <c r="D36" t="s">
        <v>117</v>
      </c>
      <c r="E36">
        <v>3</v>
      </c>
      <c r="F36">
        <v>2</v>
      </c>
      <c r="G36">
        <v>2</v>
      </c>
      <c r="H36">
        <v>2</v>
      </c>
      <c r="I36">
        <v>5</v>
      </c>
      <c r="J36">
        <f t="shared" si="26"/>
        <v>14</v>
      </c>
      <c r="K36" s="13">
        <f t="shared" si="27"/>
        <v>2.8</v>
      </c>
      <c r="L36">
        <v>4</v>
      </c>
      <c r="M36">
        <v>5</v>
      </c>
      <c r="N36">
        <v>4</v>
      </c>
      <c r="O36">
        <v>5</v>
      </c>
      <c r="P36">
        <f t="shared" si="28"/>
        <v>18</v>
      </c>
      <c r="Q36" s="10">
        <f t="shared" si="29"/>
        <v>4.5</v>
      </c>
      <c r="R36">
        <v>3</v>
      </c>
      <c r="S36">
        <v>3</v>
      </c>
      <c r="T36">
        <v>3</v>
      </c>
      <c r="U36">
        <f t="shared" si="30"/>
        <v>9</v>
      </c>
      <c r="V36" s="10">
        <f t="shared" si="31"/>
        <v>3</v>
      </c>
      <c r="W36">
        <v>3</v>
      </c>
      <c r="X36">
        <v>3</v>
      </c>
      <c r="Y36">
        <v>4</v>
      </c>
      <c r="Z36">
        <v>2</v>
      </c>
      <c r="AA36">
        <v>3</v>
      </c>
      <c r="AB36">
        <v>1</v>
      </c>
      <c r="AC36">
        <f t="shared" si="32"/>
        <v>16</v>
      </c>
      <c r="AD36" s="10">
        <f t="shared" si="33"/>
        <v>2.6666666666666665</v>
      </c>
      <c r="AE36">
        <v>1</v>
      </c>
      <c r="AF36">
        <v>3</v>
      </c>
      <c r="AG36">
        <v>1</v>
      </c>
      <c r="AH36">
        <f t="shared" si="34"/>
        <v>5</v>
      </c>
      <c r="AI36" s="10">
        <f t="shared" si="35"/>
        <v>1.6666666666666667</v>
      </c>
      <c r="AJ36">
        <v>2</v>
      </c>
      <c r="AK36">
        <v>2</v>
      </c>
      <c r="AL36">
        <v>1</v>
      </c>
      <c r="AM36">
        <v>3</v>
      </c>
      <c r="AN36">
        <f t="shared" si="36"/>
        <v>8</v>
      </c>
      <c r="AO36" s="10">
        <f t="shared" si="37"/>
        <v>2</v>
      </c>
      <c r="AP36" t="s">
        <v>118</v>
      </c>
      <c r="AQ36" t="s">
        <v>61</v>
      </c>
      <c r="AR36" s="10">
        <f>AVERAGE(E36:I36,L36:O36,R36:T36,W36:AB36,AE36:AG36)</f>
        <v>2.9523809523809526</v>
      </c>
      <c r="AS36" s="10">
        <f t="shared" si="38"/>
        <v>1.1504474832710556</v>
      </c>
      <c r="AT36" s="10">
        <f t="shared" si="39"/>
        <v>1.6666666666666667</v>
      </c>
      <c r="AU36" s="10">
        <f t="shared" si="40"/>
        <v>1.1547005383792515</v>
      </c>
      <c r="AV36" s="10">
        <f t="shared" si="41"/>
        <v>2</v>
      </c>
      <c r="AW36" s="10">
        <f t="shared" si="42"/>
        <v>0.81649658092772603</v>
      </c>
      <c r="AX36" s="10">
        <f t="shared" si="43"/>
        <v>2.2063492063492065</v>
      </c>
      <c r="AY36" s="10">
        <f t="shared" si="44"/>
        <v>1.2247448713915889</v>
      </c>
      <c r="AZ36">
        <f t="shared" si="45"/>
        <v>22</v>
      </c>
      <c r="BA36">
        <f t="shared" si="46"/>
        <v>39.5</v>
      </c>
      <c r="BB36">
        <f t="shared" si="47"/>
        <v>26</v>
      </c>
    </row>
    <row r="37" spans="1:54" ht="14.5" x14ac:dyDescent="0.35">
      <c r="A37" t="s">
        <v>48</v>
      </c>
      <c r="B37" t="s">
        <v>53</v>
      </c>
      <c r="D37" t="s">
        <v>119</v>
      </c>
      <c r="E37">
        <v>2</v>
      </c>
      <c r="F37">
        <v>2</v>
      </c>
      <c r="G37">
        <v>2</v>
      </c>
      <c r="H37">
        <v>1</v>
      </c>
      <c r="I37">
        <v>4</v>
      </c>
      <c r="J37">
        <f t="shared" si="26"/>
        <v>11</v>
      </c>
      <c r="K37" s="13">
        <f t="shared" si="27"/>
        <v>2.2000000000000002</v>
      </c>
      <c r="L37">
        <v>3</v>
      </c>
      <c r="M37">
        <v>4</v>
      </c>
      <c r="N37">
        <v>3</v>
      </c>
      <c r="O37">
        <v>4</v>
      </c>
      <c r="P37">
        <f t="shared" si="28"/>
        <v>14</v>
      </c>
      <c r="Q37" s="10">
        <f t="shared" si="29"/>
        <v>3.5</v>
      </c>
      <c r="R37">
        <v>2</v>
      </c>
      <c r="S37">
        <v>2</v>
      </c>
      <c r="T37">
        <v>2</v>
      </c>
      <c r="U37">
        <f t="shared" si="30"/>
        <v>6</v>
      </c>
      <c r="V37" s="10">
        <f t="shared" si="31"/>
        <v>2</v>
      </c>
      <c r="W37">
        <v>4</v>
      </c>
      <c r="X37">
        <v>3</v>
      </c>
      <c r="Y37">
        <v>4</v>
      </c>
      <c r="Z37">
        <v>4</v>
      </c>
      <c r="AA37">
        <v>3</v>
      </c>
      <c r="AB37">
        <v>2</v>
      </c>
      <c r="AC37">
        <f t="shared" si="32"/>
        <v>20</v>
      </c>
      <c r="AD37" s="10">
        <f t="shared" si="33"/>
        <v>3.3333333333333335</v>
      </c>
      <c r="AE37">
        <v>4</v>
      </c>
      <c r="AF37">
        <v>1</v>
      </c>
      <c r="AG37">
        <v>1</v>
      </c>
      <c r="AH37">
        <f t="shared" si="34"/>
        <v>6</v>
      </c>
      <c r="AI37" s="10">
        <f t="shared" si="35"/>
        <v>2</v>
      </c>
      <c r="AJ37">
        <v>2</v>
      </c>
      <c r="AK37">
        <v>2</v>
      </c>
      <c r="AL37">
        <v>1</v>
      </c>
      <c r="AM37">
        <v>3</v>
      </c>
      <c r="AN37">
        <f t="shared" si="36"/>
        <v>8</v>
      </c>
      <c r="AO37" s="10">
        <f t="shared" si="37"/>
        <v>2</v>
      </c>
      <c r="AP37" t="s">
        <v>120</v>
      </c>
      <c r="AQ37" t="s">
        <v>48</v>
      </c>
      <c r="AR37" s="10">
        <f>AVERAGE(E37:I37,L37:O37,R37:T37,W37:AB37,AE37:AG37,AJ37:AM37)</f>
        <v>2.6</v>
      </c>
      <c r="AS37" s="10">
        <f t="shared" si="38"/>
        <v>0.98518436614377802</v>
      </c>
      <c r="AT37" s="10">
        <f t="shared" si="39"/>
        <v>2</v>
      </c>
      <c r="AU37" s="10">
        <f t="shared" si="40"/>
        <v>1.7320508075688772</v>
      </c>
      <c r="AV37" s="10">
        <f t="shared" si="41"/>
        <v>2</v>
      </c>
      <c r="AW37" s="10">
        <f t="shared" si="42"/>
        <v>0.81649658092772603</v>
      </c>
      <c r="AX37" s="10">
        <f t="shared" si="43"/>
        <v>2.1999999999999997</v>
      </c>
      <c r="AY37" s="10">
        <f t="shared" si="44"/>
        <v>1.0801234497346435</v>
      </c>
      <c r="AZ37">
        <f t="shared" si="45"/>
        <v>10</v>
      </c>
      <c r="BA37">
        <f t="shared" si="46"/>
        <v>44</v>
      </c>
      <c r="BB37">
        <f t="shared" si="47"/>
        <v>26</v>
      </c>
    </row>
    <row r="38" spans="1:54" ht="14.5" x14ac:dyDescent="0.35">
      <c r="A38" t="s">
        <v>48</v>
      </c>
      <c r="B38" t="s">
        <v>53</v>
      </c>
      <c r="D38" t="s">
        <v>121</v>
      </c>
      <c r="E38">
        <v>3</v>
      </c>
      <c r="F38">
        <v>2</v>
      </c>
      <c r="G38">
        <v>3</v>
      </c>
      <c r="H38">
        <v>3</v>
      </c>
      <c r="I38">
        <v>4</v>
      </c>
      <c r="J38">
        <f t="shared" si="26"/>
        <v>15</v>
      </c>
      <c r="K38" s="13">
        <f t="shared" si="27"/>
        <v>3</v>
      </c>
      <c r="L38">
        <v>5</v>
      </c>
      <c r="M38">
        <v>5</v>
      </c>
      <c r="N38">
        <v>5</v>
      </c>
      <c r="O38">
        <v>5</v>
      </c>
      <c r="P38">
        <f t="shared" si="28"/>
        <v>20</v>
      </c>
      <c r="Q38" s="10">
        <f t="shared" si="29"/>
        <v>5</v>
      </c>
      <c r="R38">
        <v>4</v>
      </c>
      <c r="S38">
        <v>3</v>
      </c>
      <c r="T38">
        <v>3</v>
      </c>
      <c r="U38">
        <f t="shared" si="30"/>
        <v>10</v>
      </c>
      <c r="V38" s="10">
        <f t="shared" si="31"/>
        <v>3.3333333333333335</v>
      </c>
      <c r="W38">
        <v>5</v>
      </c>
      <c r="X38">
        <v>3</v>
      </c>
      <c r="Y38">
        <v>2</v>
      </c>
      <c r="Z38">
        <v>1</v>
      </c>
      <c r="AA38">
        <v>3</v>
      </c>
      <c r="AB38">
        <v>1</v>
      </c>
      <c r="AC38">
        <f t="shared" si="32"/>
        <v>15</v>
      </c>
      <c r="AD38" s="10">
        <f t="shared" si="33"/>
        <v>2.5</v>
      </c>
      <c r="AE38">
        <v>1</v>
      </c>
      <c r="AF38">
        <v>2</v>
      </c>
      <c r="AG38">
        <v>1</v>
      </c>
      <c r="AH38">
        <f t="shared" si="34"/>
        <v>4</v>
      </c>
      <c r="AI38" s="10">
        <f t="shared" si="35"/>
        <v>1.3333333333333333</v>
      </c>
      <c r="AJ38">
        <v>2</v>
      </c>
      <c r="AK38">
        <v>3</v>
      </c>
      <c r="AL38">
        <v>1</v>
      </c>
      <c r="AM38">
        <v>3</v>
      </c>
      <c r="AN38">
        <f t="shared" si="36"/>
        <v>9</v>
      </c>
      <c r="AO38" s="10">
        <f t="shared" si="37"/>
        <v>2.25</v>
      </c>
      <c r="AP38" t="s">
        <v>122</v>
      </c>
      <c r="AQ38" t="s">
        <v>61</v>
      </c>
      <c r="AR38" s="10">
        <f>AVERAGE(E38:I38,L38:O38,R38:T38,W38:AB38,AE38:AG38,AJ38:AM38)</f>
        <v>2.92</v>
      </c>
      <c r="AS38" s="10">
        <f t="shared" si="38"/>
        <v>1.3284223283101428</v>
      </c>
      <c r="AT38" s="10">
        <f t="shared" si="39"/>
        <v>1.3333333333333333</v>
      </c>
      <c r="AU38" s="10">
        <f t="shared" si="40"/>
        <v>0.57735026918962584</v>
      </c>
      <c r="AV38" s="10">
        <f t="shared" si="41"/>
        <v>2.25</v>
      </c>
      <c r="AW38" s="10">
        <f t="shared" si="42"/>
        <v>0.9574271077563381</v>
      </c>
      <c r="AX38" s="10">
        <f t="shared" si="43"/>
        <v>2.1677777777777778</v>
      </c>
      <c r="AY38" s="10">
        <f t="shared" si="44"/>
        <v>1.3820274961085255</v>
      </c>
      <c r="AZ38">
        <f t="shared" si="45"/>
        <v>19</v>
      </c>
      <c r="BA38">
        <f t="shared" si="46"/>
        <v>23.5</v>
      </c>
      <c r="BB38">
        <f t="shared" si="47"/>
        <v>34</v>
      </c>
    </row>
    <row r="39" spans="1:54" ht="14.5" x14ac:dyDescent="0.35">
      <c r="A39" t="s">
        <v>52</v>
      </c>
      <c r="B39" t="s">
        <v>53</v>
      </c>
      <c r="C39" t="s">
        <v>53</v>
      </c>
      <c r="D39" t="s">
        <v>123</v>
      </c>
      <c r="E39">
        <v>2</v>
      </c>
      <c r="F39">
        <v>3</v>
      </c>
      <c r="G39">
        <v>4</v>
      </c>
      <c r="H39">
        <v>3</v>
      </c>
      <c r="I39">
        <v>3</v>
      </c>
      <c r="J39">
        <f t="shared" si="26"/>
        <v>15</v>
      </c>
      <c r="K39" s="13">
        <f t="shared" si="27"/>
        <v>3</v>
      </c>
      <c r="L39">
        <v>3</v>
      </c>
      <c r="M39">
        <v>5</v>
      </c>
      <c r="N39">
        <v>5</v>
      </c>
      <c r="O39">
        <v>5</v>
      </c>
      <c r="P39">
        <f t="shared" si="28"/>
        <v>18</v>
      </c>
      <c r="Q39" s="10">
        <f t="shared" si="29"/>
        <v>4.5</v>
      </c>
      <c r="R39">
        <v>4</v>
      </c>
      <c r="S39">
        <v>4</v>
      </c>
      <c r="T39">
        <v>4</v>
      </c>
      <c r="U39">
        <f t="shared" si="30"/>
        <v>12</v>
      </c>
      <c r="V39" s="10">
        <f t="shared" si="31"/>
        <v>4</v>
      </c>
      <c r="W39">
        <v>3</v>
      </c>
      <c r="X39">
        <v>3</v>
      </c>
      <c r="Y39">
        <v>2</v>
      </c>
      <c r="Z39">
        <v>1</v>
      </c>
      <c r="AA39" t="s">
        <v>53</v>
      </c>
      <c r="AB39">
        <v>1</v>
      </c>
      <c r="AC39">
        <f t="shared" si="32"/>
        <v>10</v>
      </c>
      <c r="AD39" s="10">
        <f t="shared" si="33"/>
        <v>2</v>
      </c>
      <c r="AE39">
        <v>1</v>
      </c>
      <c r="AF39">
        <v>2</v>
      </c>
      <c r="AG39">
        <v>1</v>
      </c>
      <c r="AH39">
        <f t="shared" si="34"/>
        <v>4</v>
      </c>
      <c r="AI39" s="10">
        <f t="shared" si="35"/>
        <v>1.3333333333333333</v>
      </c>
      <c r="AJ39">
        <v>2</v>
      </c>
      <c r="AK39">
        <v>2</v>
      </c>
      <c r="AL39">
        <v>1</v>
      </c>
      <c r="AM39">
        <v>3</v>
      </c>
      <c r="AN39">
        <f t="shared" si="36"/>
        <v>8</v>
      </c>
      <c r="AO39" s="10">
        <f t="shared" si="37"/>
        <v>2</v>
      </c>
      <c r="AP39" t="s">
        <v>124</v>
      </c>
      <c r="AQ39" t="s">
        <v>61</v>
      </c>
      <c r="AR39" s="10">
        <f>AVERAGE(E39:I39,L39:O39,R39:T39,W39:AB39,AE39:AG39)</f>
        <v>2.95</v>
      </c>
      <c r="AS39" s="10">
        <f t="shared" si="38"/>
        <v>1.2514697241996051</v>
      </c>
      <c r="AT39" s="10">
        <f t="shared" si="39"/>
        <v>1.3333333333333333</v>
      </c>
      <c r="AU39" s="10">
        <f t="shared" si="40"/>
        <v>0.57735026918962584</v>
      </c>
      <c r="AV39" s="10">
        <f t="shared" si="41"/>
        <v>2</v>
      </c>
      <c r="AW39" s="10">
        <f t="shared" si="42"/>
        <v>0.81649658092772603</v>
      </c>
      <c r="AX39" s="10">
        <f t="shared" si="43"/>
        <v>2.0944444444444446</v>
      </c>
      <c r="AY39" s="10">
        <f t="shared" si="44"/>
        <v>1.3180739131701646</v>
      </c>
      <c r="AZ39">
        <f t="shared" si="45"/>
        <v>20.5</v>
      </c>
      <c r="BA39">
        <f t="shared" si="46"/>
        <v>23.5</v>
      </c>
      <c r="BB39">
        <f t="shared" si="47"/>
        <v>26</v>
      </c>
    </row>
    <row r="40" spans="1:54" ht="14.5" hidden="1" x14ac:dyDescent="0.35">
      <c r="A40" t="s">
        <v>48</v>
      </c>
      <c r="D40" t="s">
        <v>125</v>
      </c>
      <c r="AP40" t="s">
        <v>126</v>
      </c>
      <c r="AR40" s="10"/>
    </row>
    <row r="41" spans="1:54" ht="14.5" x14ac:dyDescent="0.35">
      <c r="A41" t="s">
        <v>48</v>
      </c>
      <c r="B41">
        <v>4</v>
      </c>
      <c r="D41" t="s">
        <v>127</v>
      </c>
      <c r="E41">
        <v>1</v>
      </c>
      <c r="F41">
        <v>2</v>
      </c>
      <c r="G41">
        <v>3</v>
      </c>
      <c r="H41">
        <v>3</v>
      </c>
      <c r="I41">
        <v>5</v>
      </c>
      <c r="J41">
        <f>SUM(E41:I41)</f>
        <v>14</v>
      </c>
      <c r="K41" s="13">
        <f>AVERAGE(E41:I41)</f>
        <v>2.8</v>
      </c>
      <c r="L41">
        <v>5</v>
      </c>
      <c r="M41">
        <v>5</v>
      </c>
      <c r="N41">
        <v>5</v>
      </c>
      <c r="O41">
        <v>4</v>
      </c>
      <c r="P41">
        <f>SUM(L41:O41)</f>
        <v>19</v>
      </c>
      <c r="Q41" s="10">
        <f>AVERAGE(L41:O41)</f>
        <v>4.75</v>
      </c>
      <c r="R41">
        <v>4</v>
      </c>
      <c r="S41">
        <v>4</v>
      </c>
      <c r="T41">
        <v>3</v>
      </c>
      <c r="U41">
        <f>SUM(R41:T41)</f>
        <v>11</v>
      </c>
      <c r="V41" s="10">
        <f>AVERAGE(R41:T41)</f>
        <v>3.6666666666666665</v>
      </c>
      <c r="W41">
        <v>4</v>
      </c>
      <c r="X41">
        <v>2</v>
      </c>
      <c r="Y41" t="s">
        <v>53</v>
      </c>
      <c r="Z41" t="s">
        <v>53</v>
      </c>
      <c r="AA41" t="s">
        <v>53</v>
      </c>
      <c r="AB41">
        <v>1</v>
      </c>
      <c r="AC41">
        <f>SUM(W41:AB41)</f>
        <v>7</v>
      </c>
      <c r="AD41" s="10">
        <f>AVERAGE(W41:AB41)</f>
        <v>2.3333333333333335</v>
      </c>
      <c r="AE41">
        <v>1</v>
      </c>
      <c r="AF41">
        <v>2</v>
      </c>
      <c r="AG41">
        <v>1</v>
      </c>
      <c r="AH41">
        <f>SUM(AE41:AG41)</f>
        <v>4</v>
      </c>
      <c r="AI41" s="10">
        <f>AVERAGE(AE41:AG41)</f>
        <v>1.3333333333333333</v>
      </c>
      <c r="AJ41">
        <v>2</v>
      </c>
      <c r="AK41">
        <v>2</v>
      </c>
      <c r="AL41">
        <v>1</v>
      </c>
      <c r="AM41">
        <v>2</v>
      </c>
      <c r="AN41">
        <f>SUM(AJ41:AM41)</f>
        <v>7</v>
      </c>
      <c r="AO41" s="10">
        <f>AVERAGE(AJ41:AM41)</f>
        <v>1.75</v>
      </c>
      <c r="AP41" t="s">
        <v>128</v>
      </c>
      <c r="AQ41" t="s">
        <v>61</v>
      </c>
      <c r="AR41" s="10">
        <f>AVERAGE(E41:I41,L41:O41,R41:T41,W41:AB41,AE41:AG41)</f>
        <v>3.0555555555555554</v>
      </c>
      <c r="AS41" s="10">
        <f>_xlfn.STDEV.S(E41:I41,L41:O41,R41:T41,W41:AB41)</f>
        <v>1.4040757000349273</v>
      </c>
      <c r="AT41" s="10">
        <f>AVERAGE(AE41:AG41)</f>
        <v>1.3333333333333333</v>
      </c>
      <c r="AU41" s="10">
        <f>_xlfn.STDEV.S(AE41:AG41)</f>
        <v>0.57735026918962584</v>
      </c>
      <c r="AV41" s="10">
        <f>AVERAGE(AJ41:AM41)</f>
        <v>1.75</v>
      </c>
      <c r="AW41" s="10">
        <f>_xlfn.STDEV.S(AJ41:AM41)</f>
        <v>0.5</v>
      </c>
      <c r="AX41" s="10">
        <f>AVERAGE(AR41,AT41,AV41)</f>
        <v>2.0462962962962963</v>
      </c>
      <c r="AY41" s="10">
        <f>_xlfn.STDEV.S(E41:I41,L41:O41,R41:T41,W41:AB41,AE41:AG41,AJ41:AM41)</f>
        <v>1.4682793180604827</v>
      </c>
      <c r="AZ41">
        <f>_xlfn.RANK.AVG(AR41, $AR$3:$AR$76, 1)</f>
        <v>26</v>
      </c>
      <c r="BA41">
        <f>_xlfn.RANK.AVG(AT41, $AT$3:$AT$76, 1)</f>
        <v>23.5</v>
      </c>
      <c r="BB41">
        <f>_xlfn.RANK.AVG(AV41, $AV$3:$AV$76, 1)</f>
        <v>19.5</v>
      </c>
    </row>
    <row r="42" spans="1:54" ht="14.5" hidden="1" x14ac:dyDescent="0.35">
      <c r="A42" t="s">
        <v>48</v>
      </c>
      <c r="B42" t="s">
        <v>53</v>
      </c>
      <c r="D42" t="s">
        <v>129</v>
      </c>
      <c r="AP42" t="s">
        <v>130</v>
      </c>
      <c r="AR42" s="10"/>
    </row>
    <row r="43" spans="1:54" ht="14.5" x14ac:dyDescent="0.35">
      <c r="A43" t="s">
        <v>48</v>
      </c>
      <c r="B43" t="s">
        <v>53</v>
      </c>
      <c r="D43" t="s">
        <v>131</v>
      </c>
      <c r="E43">
        <v>1</v>
      </c>
      <c r="F43">
        <v>2</v>
      </c>
      <c r="G43">
        <v>3</v>
      </c>
      <c r="H43">
        <v>3</v>
      </c>
      <c r="I43">
        <v>4</v>
      </c>
      <c r="J43">
        <f>SUM(E43:I43)</f>
        <v>13</v>
      </c>
      <c r="K43" s="13">
        <f>AVERAGE(E43:I43)</f>
        <v>2.6</v>
      </c>
      <c r="L43">
        <v>3</v>
      </c>
      <c r="M43">
        <v>4</v>
      </c>
      <c r="N43">
        <v>4</v>
      </c>
      <c r="O43">
        <v>4</v>
      </c>
      <c r="P43">
        <f>SUM(L43:O43)</f>
        <v>15</v>
      </c>
      <c r="Q43" s="10">
        <f>AVERAGE(L43:O43)</f>
        <v>3.75</v>
      </c>
      <c r="R43">
        <v>5</v>
      </c>
      <c r="S43">
        <v>5</v>
      </c>
      <c r="T43">
        <v>5</v>
      </c>
      <c r="U43">
        <f>SUM(R43:T43)</f>
        <v>15</v>
      </c>
      <c r="V43" s="10">
        <f>AVERAGE(R43:T43)</f>
        <v>5</v>
      </c>
      <c r="W43">
        <v>4</v>
      </c>
      <c r="X43">
        <v>3</v>
      </c>
      <c r="Y43">
        <v>1</v>
      </c>
      <c r="Z43">
        <v>1</v>
      </c>
      <c r="AA43">
        <v>3</v>
      </c>
      <c r="AB43">
        <v>1</v>
      </c>
      <c r="AC43">
        <f>SUM(W43:AB43)</f>
        <v>13</v>
      </c>
      <c r="AD43" s="10">
        <f>AVERAGE(W43:AB43)</f>
        <v>2.1666666666666665</v>
      </c>
      <c r="AE43">
        <v>1</v>
      </c>
      <c r="AF43">
        <v>2</v>
      </c>
      <c r="AG43">
        <v>1</v>
      </c>
      <c r="AH43">
        <f>SUM(AE43:AG43)</f>
        <v>4</v>
      </c>
      <c r="AI43" s="10">
        <f>AVERAGE(AE43:AG43)</f>
        <v>1.3333333333333333</v>
      </c>
      <c r="AJ43">
        <v>2</v>
      </c>
      <c r="AK43">
        <v>2</v>
      </c>
      <c r="AL43">
        <v>1</v>
      </c>
      <c r="AM43">
        <v>3</v>
      </c>
      <c r="AN43">
        <f>SUM(AJ43:AM43)</f>
        <v>8</v>
      </c>
      <c r="AO43" s="10">
        <f>AVERAGE(AJ43:AM43)</f>
        <v>2</v>
      </c>
      <c r="AP43" t="s">
        <v>132</v>
      </c>
      <c r="AQ43" t="s">
        <v>61</v>
      </c>
      <c r="AR43" s="10">
        <f>AVERAGE(E43:I43,L43:O43,R43:T43,W43:AB43,AE43:AG43,AJ43:AM43)</f>
        <v>2.72</v>
      </c>
      <c r="AS43" s="10">
        <f>_xlfn.STDEV.S(E43:I43,L43:O43,R43:T43,W43:AB43)</f>
        <v>1.4095843729891315</v>
      </c>
      <c r="AT43" s="10">
        <f>AVERAGE(AE43:AG43)</f>
        <v>1.3333333333333333</v>
      </c>
      <c r="AU43" s="10">
        <f>_xlfn.STDEV.S(AE43:AG43)</f>
        <v>0.57735026918962584</v>
      </c>
      <c r="AV43" s="10">
        <f>AVERAGE(AJ43:AM43)</f>
        <v>2</v>
      </c>
      <c r="AW43" s="10">
        <f>_xlfn.STDEV.S(AJ43:AM43)</f>
        <v>0.81649658092772603</v>
      </c>
      <c r="AX43" s="10">
        <f>AVERAGE(AR43,AT43,AV43)</f>
        <v>2.0177777777777779</v>
      </c>
      <c r="AY43" s="10">
        <f t="shared" ref="AY43:AY45" si="48">_xlfn.STDEV.S(E43:I43,L43:O43,R43:T43,W43:AB43,AE43:AG43,AJ43:AM43)</f>
        <v>1.4</v>
      </c>
      <c r="AZ43">
        <f>_xlfn.RANK.AVG(AR43, $AR$3:$AR$76, 1)</f>
        <v>14</v>
      </c>
      <c r="BA43">
        <f>_xlfn.RANK.AVG(AT43, $AT$3:$AT$76, 1)</f>
        <v>23.5</v>
      </c>
      <c r="BB43">
        <f>_xlfn.RANK.AVG(AV43, $AV$3:$AV$76, 1)</f>
        <v>26</v>
      </c>
    </row>
    <row r="44" spans="1:54" ht="14.5" x14ac:dyDescent="0.35">
      <c r="A44" t="s">
        <v>48</v>
      </c>
      <c r="B44">
        <v>4.0999999999999996</v>
      </c>
      <c r="D44" t="s">
        <v>133</v>
      </c>
      <c r="E44">
        <v>1</v>
      </c>
      <c r="F44">
        <v>1</v>
      </c>
      <c r="G44">
        <v>3</v>
      </c>
      <c r="H44">
        <v>3</v>
      </c>
      <c r="I44">
        <v>5</v>
      </c>
      <c r="J44">
        <f>SUM(E44:I44)</f>
        <v>13</v>
      </c>
      <c r="K44" s="13">
        <f>AVERAGE(E44:I44)</f>
        <v>2.6</v>
      </c>
      <c r="L44">
        <v>5</v>
      </c>
      <c r="M44">
        <v>5</v>
      </c>
      <c r="N44">
        <v>5</v>
      </c>
      <c r="O44">
        <v>4</v>
      </c>
      <c r="P44">
        <f>SUM(L44:O44)</f>
        <v>19</v>
      </c>
      <c r="Q44" s="10">
        <f>AVERAGE(L44:O44)</f>
        <v>4.75</v>
      </c>
      <c r="R44">
        <v>4</v>
      </c>
      <c r="S44">
        <v>4</v>
      </c>
      <c r="T44">
        <v>3</v>
      </c>
      <c r="U44">
        <f>SUM(R44:T44)</f>
        <v>11</v>
      </c>
      <c r="V44" s="10">
        <f>AVERAGE(R44:T44)</f>
        <v>3.6666666666666665</v>
      </c>
      <c r="W44">
        <v>4</v>
      </c>
      <c r="X44">
        <v>4</v>
      </c>
      <c r="Y44">
        <v>2</v>
      </c>
      <c r="Z44">
        <v>1</v>
      </c>
      <c r="AA44" t="s">
        <v>53</v>
      </c>
      <c r="AB44">
        <v>1</v>
      </c>
      <c r="AC44">
        <f>SUM(W44:AB44)</f>
        <v>12</v>
      </c>
      <c r="AD44" s="10">
        <f>AVERAGE(W44:AB44)</f>
        <v>2.4</v>
      </c>
      <c r="AE44">
        <v>1</v>
      </c>
      <c r="AF44">
        <v>2</v>
      </c>
      <c r="AG44">
        <v>1</v>
      </c>
      <c r="AH44">
        <f>SUM(AE44:AG44)</f>
        <v>4</v>
      </c>
      <c r="AI44" s="10">
        <f>AVERAGE(AE44:AG44)</f>
        <v>1.3333333333333333</v>
      </c>
      <c r="AJ44">
        <v>2</v>
      </c>
      <c r="AK44">
        <v>2</v>
      </c>
      <c r="AL44">
        <v>1</v>
      </c>
      <c r="AM44">
        <v>2</v>
      </c>
      <c r="AN44">
        <f>SUM(AJ44:AM44)</f>
        <v>7</v>
      </c>
      <c r="AO44" s="10">
        <f>AVERAGE(AJ44:AM44)</f>
        <v>1.75</v>
      </c>
      <c r="AP44" t="s">
        <v>134</v>
      </c>
      <c r="AQ44" t="s">
        <v>61</v>
      </c>
      <c r="AR44" s="10">
        <f>AVERAGE(E44:I44,L44:O44,R44:T44,W44:AB44,AE44:AG44)</f>
        <v>2.95</v>
      </c>
      <c r="AS44" s="10">
        <f>_xlfn.STDEV.S(E44:I44,L44:O44,R44:T44,W44:AB44)</f>
        <v>1.5218989685876771</v>
      </c>
      <c r="AT44" s="10">
        <f>AVERAGE(AE44:AG44)</f>
        <v>1.3333333333333333</v>
      </c>
      <c r="AU44" s="10">
        <f>_xlfn.STDEV.S(AE44:AG44)</f>
        <v>0.57735026918962584</v>
      </c>
      <c r="AV44" s="10">
        <f>AVERAGE(AJ44:AM44)</f>
        <v>1.75</v>
      </c>
      <c r="AW44" s="10">
        <f>_xlfn.STDEV.S(AJ44:AM44)</f>
        <v>0.5</v>
      </c>
      <c r="AX44" s="10">
        <f>AVERAGE(AR44,AT44,AV44)</f>
        <v>2.0111111111111111</v>
      </c>
      <c r="AY44" s="10">
        <f t="shared" si="48"/>
        <v>1.5108304655560048</v>
      </c>
      <c r="AZ44">
        <f>_xlfn.RANK.AVG(AR44, $AR$3:$AR$76, 1)</f>
        <v>20.5</v>
      </c>
      <c r="BA44">
        <f>_xlfn.RANK.AVG(AT44, $AT$3:$AT$76, 1)</f>
        <v>23.5</v>
      </c>
      <c r="BB44">
        <f>_xlfn.RANK.AVG(AV44, $AV$3:$AV$76, 1)</f>
        <v>19.5</v>
      </c>
    </row>
    <row r="45" spans="1:54" ht="14.5" x14ac:dyDescent="0.35">
      <c r="A45" t="s">
        <v>52</v>
      </c>
      <c r="B45">
        <v>4.5</v>
      </c>
      <c r="C45">
        <v>4.5</v>
      </c>
      <c r="D45" t="s">
        <v>135</v>
      </c>
      <c r="E45">
        <v>4</v>
      </c>
      <c r="F45">
        <v>4</v>
      </c>
      <c r="G45">
        <v>2</v>
      </c>
      <c r="H45">
        <v>3</v>
      </c>
      <c r="I45">
        <v>5</v>
      </c>
      <c r="J45">
        <f>SUM(E45:I45)</f>
        <v>18</v>
      </c>
      <c r="K45" s="13">
        <f>AVERAGE(E45:I45)</f>
        <v>3.6</v>
      </c>
      <c r="L45">
        <v>3</v>
      </c>
      <c r="M45">
        <v>3</v>
      </c>
      <c r="N45">
        <v>3</v>
      </c>
      <c r="O45">
        <v>3</v>
      </c>
      <c r="P45">
        <f>SUM(L45:O45)</f>
        <v>12</v>
      </c>
      <c r="Q45" s="10">
        <f>AVERAGE(L45:O45)</f>
        <v>3</v>
      </c>
      <c r="R45">
        <v>3</v>
      </c>
      <c r="S45">
        <v>5</v>
      </c>
      <c r="T45">
        <v>5</v>
      </c>
      <c r="U45">
        <f>SUM(R45:T45)</f>
        <v>13</v>
      </c>
      <c r="V45" s="10">
        <f>AVERAGE(R45:T45)</f>
        <v>4.333333333333333</v>
      </c>
      <c r="W45">
        <v>4</v>
      </c>
      <c r="X45">
        <v>3</v>
      </c>
      <c r="Y45" t="s">
        <v>53</v>
      </c>
      <c r="Z45" t="s">
        <v>53</v>
      </c>
      <c r="AA45">
        <v>3</v>
      </c>
      <c r="AB45">
        <v>1</v>
      </c>
      <c r="AC45">
        <f>SUM(W45:AB45)</f>
        <v>11</v>
      </c>
      <c r="AD45" s="10">
        <f>AVERAGE(W45:AB45)</f>
        <v>2.75</v>
      </c>
      <c r="AE45">
        <v>1</v>
      </c>
      <c r="AF45">
        <v>1</v>
      </c>
      <c r="AG45">
        <v>1</v>
      </c>
      <c r="AH45">
        <f>SUM(AE45:AG45)</f>
        <v>3</v>
      </c>
      <c r="AI45" s="10">
        <f>AVERAGE(AE45:AG45)</f>
        <v>1</v>
      </c>
      <c r="AJ45">
        <v>3</v>
      </c>
      <c r="AK45">
        <v>1</v>
      </c>
      <c r="AL45">
        <v>1</v>
      </c>
      <c r="AM45">
        <v>3</v>
      </c>
      <c r="AN45">
        <f>SUM(AJ45:AM45)</f>
        <v>8</v>
      </c>
      <c r="AO45" s="10">
        <f>AVERAGE(AJ45:AM45)</f>
        <v>2</v>
      </c>
      <c r="AP45" t="s">
        <v>136</v>
      </c>
      <c r="AQ45" t="s">
        <v>61</v>
      </c>
      <c r="AR45" s="10">
        <f>AVERAGE(E45:I45,L45:O45,R45:T45,W45:AB45,AE45:AG45)</f>
        <v>3</v>
      </c>
      <c r="AS45" s="10">
        <f>_xlfn.STDEV.S(E45:I45,L45:O45,R45:T45,W45:AB45)</f>
        <v>1.0878112581387147</v>
      </c>
      <c r="AT45" s="10">
        <f>AVERAGE(AE45:AG45)</f>
        <v>1</v>
      </c>
      <c r="AU45" s="10">
        <f>_xlfn.STDEV.S(AE45:AG45)</f>
        <v>0</v>
      </c>
      <c r="AV45" s="10">
        <f>AVERAGE(AJ45:AM45)</f>
        <v>2</v>
      </c>
      <c r="AW45" s="10">
        <f>_xlfn.STDEV.S(AJ45:AM45)</f>
        <v>1.1547005383792515</v>
      </c>
      <c r="AX45" s="10">
        <f>AVERAGE(AR45,AT45,AV45)</f>
        <v>2</v>
      </c>
      <c r="AY45" s="10">
        <f t="shared" si="48"/>
        <v>1.3366230825562362</v>
      </c>
      <c r="AZ45">
        <f>_xlfn.RANK.AVG(AR45, $AR$3:$AR$76, 1)</f>
        <v>24.5</v>
      </c>
      <c r="BA45">
        <f>_xlfn.RANK.AVG(AT45, $AT$3:$AT$76, 1)</f>
        <v>5.5</v>
      </c>
      <c r="BB45">
        <f>_xlfn.RANK.AVG(AV45, $AV$3:$AV$76, 1)</f>
        <v>26</v>
      </c>
    </row>
    <row r="46" spans="1:54" ht="14.5" hidden="1" x14ac:dyDescent="0.35">
      <c r="A46" t="s">
        <v>48</v>
      </c>
      <c r="D46" t="s">
        <v>137</v>
      </c>
      <c r="AP46" t="s">
        <v>138</v>
      </c>
      <c r="AR46" s="10"/>
    </row>
    <row r="47" spans="1:54" ht="14.5" x14ac:dyDescent="0.35">
      <c r="A47" t="s">
        <v>48</v>
      </c>
      <c r="B47" t="s">
        <v>53</v>
      </c>
      <c r="D47" t="s">
        <v>139</v>
      </c>
      <c r="E47">
        <v>2</v>
      </c>
      <c r="F47">
        <v>2</v>
      </c>
      <c r="G47">
        <v>2</v>
      </c>
      <c r="H47">
        <v>1</v>
      </c>
      <c r="I47">
        <v>5</v>
      </c>
      <c r="J47">
        <f>SUM(E47:I47)</f>
        <v>12</v>
      </c>
      <c r="K47" s="13">
        <f>AVERAGE(E47:I47)</f>
        <v>2.4</v>
      </c>
      <c r="L47">
        <v>5</v>
      </c>
      <c r="M47">
        <v>5</v>
      </c>
      <c r="N47">
        <v>5</v>
      </c>
      <c r="O47">
        <v>5</v>
      </c>
      <c r="P47">
        <f>SUM(L47:O47)</f>
        <v>20</v>
      </c>
      <c r="Q47" s="10">
        <f>AVERAGE(L47:O47)</f>
        <v>5</v>
      </c>
      <c r="R47">
        <v>5</v>
      </c>
      <c r="S47">
        <v>4</v>
      </c>
      <c r="T47">
        <v>3</v>
      </c>
      <c r="U47">
        <f>SUM(R47:T47)</f>
        <v>12</v>
      </c>
      <c r="V47" s="10">
        <f>AVERAGE(R47:T47)</f>
        <v>4</v>
      </c>
      <c r="W47">
        <v>5</v>
      </c>
      <c r="X47">
        <v>3</v>
      </c>
      <c r="Y47" t="s">
        <v>53</v>
      </c>
      <c r="Z47" t="s">
        <v>53</v>
      </c>
      <c r="AA47" t="s">
        <v>53</v>
      </c>
      <c r="AB47">
        <v>1</v>
      </c>
      <c r="AC47">
        <f>SUM(W47:AB47)</f>
        <v>9</v>
      </c>
      <c r="AD47" s="10">
        <f>AVERAGE(W47:AB47)</f>
        <v>3</v>
      </c>
      <c r="AE47">
        <v>1</v>
      </c>
      <c r="AF47">
        <v>2</v>
      </c>
      <c r="AG47">
        <v>1</v>
      </c>
      <c r="AH47">
        <f>SUM(AE47:AG47)</f>
        <v>4</v>
      </c>
      <c r="AI47" s="10">
        <f>AVERAGE(AE47:AG47)</f>
        <v>1.3333333333333333</v>
      </c>
      <c r="AJ47">
        <v>2</v>
      </c>
      <c r="AK47">
        <v>1</v>
      </c>
      <c r="AL47">
        <v>1</v>
      </c>
      <c r="AM47">
        <v>2</v>
      </c>
      <c r="AN47">
        <f>SUM(AJ47:AM47)</f>
        <v>6</v>
      </c>
      <c r="AO47" s="10">
        <f>AVERAGE(AJ47:AM47)</f>
        <v>1.5</v>
      </c>
      <c r="AP47" t="s">
        <v>140</v>
      </c>
      <c r="AQ47" t="s">
        <v>61</v>
      </c>
      <c r="AR47" s="10">
        <f>AVERAGE(E47:I47,L47:O47,R47:T47,W47:AB47,AE47:AG47,AJ47:AM47)</f>
        <v>2.8636363636363638</v>
      </c>
      <c r="AS47" s="10">
        <f>_xlfn.STDEV.S(E47:I47,L47:O47,R47:T47,W47:AB47)</f>
        <v>1.5976172734359602</v>
      </c>
      <c r="AT47" s="10">
        <f>AVERAGE(AE47:AG47)</f>
        <v>1.3333333333333333</v>
      </c>
      <c r="AU47" s="10">
        <f>_xlfn.STDEV.S(AE47:AG47)</f>
        <v>0.57735026918962584</v>
      </c>
      <c r="AV47" s="10">
        <f>AVERAGE(AJ47:AM47)</f>
        <v>1.5</v>
      </c>
      <c r="AW47" s="10">
        <f>_xlfn.STDEV.S(AJ47:AM47)</f>
        <v>0.57735026918962573</v>
      </c>
      <c r="AX47" s="10">
        <f>AVERAGE(AR47,AT47,AV47)</f>
        <v>1.898989898989899</v>
      </c>
      <c r="AY47" s="10">
        <f>_xlfn.STDEV.S(E47:I47,L47:O47,R47:T47,W47:AB47,AE47:AG47,AJ47:AM47)</f>
        <v>1.6703422673342401</v>
      </c>
      <c r="AZ47">
        <f>_xlfn.RANK.AVG(AR47, $AR$3:$AR$76, 1)</f>
        <v>18</v>
      </c>
      <c r="BA47">
        <f>_xlfn.RANK.AVG(AT47, $AT$3:$AT$76, 1)</f>
        <v>23.5</v>
      </c>
      <c r="BB47">
        <f>_xlfn.RANK.AVG(AV47, $AV$3:$AV$76, 1)</f>
        <v>16.5</v>
      </c>
    </row>
    <row r="48" spans="1:54" ht="14.5" hidden="1" x14ac:dyDescent="0.35">
      <c r="A48" t="s">
        <v>48</v>
      </c>
      <c r="D48" t="s">
        <v>141</v>
      </c>
      <c r="AP48" t="s">
        <v>142</v>
      </c>
      <c r="AR48" s="10"/>
    </row>
    <row r="49" spans="1:54" ht="14.5" x14ac:dyDescent="0.35">
      <c r="A49" t="s">
        <v>58</v>
      </c>
      <c r="C49" t="s">
        <v>53</v>
      </c>
      <c r="D49" t="s">
        <v>143</v>
      </c>
      <c r="E49">
        <v>4</v>
      </c>
      <c r="F49">
        <v>4</v>
      </c>
      <c r="G49">
        <v>3</v>
      </c>
      <c r="H49">
        <v>3</v>
      </c>
      <c r="I49">
        <v>4</v>
      </c>
      <c r="J49">
        <f>SUM(E49:I49)</f>
        <v>18</v>
      </c>
      <c r="K49" s="13">
        <f>AVERAGE(E49:I49)</f>
        <v>3.6</v>
      </c>
      <c r="L49">
        <v>4</v>
      </c>
      <c r="M49">
        <v>3</v>
      </c>
      <c r="N49">
        <v>4</v>
      </c>
      <c r="O49">
        <v>4</v>
      </c>
      <c r="P49">
        <f>SUM(L49:O49)</f>
        <v>15</v>
      </c>
      <c r="Q49" s="10">
        <f>AVERAGE(L49:O49)</f>
        <v>3.75</v>
      </c>
      <c r="R49">
        <v>3</v>
      </c>
      <c r="S49">
        <v>4</v>
      </c>
      <c r="T49">
        <v>3</v>
      </c>
      <c r="U49">
        <f>SUM(R49:T49)</f>
        <v>10</v>
      </c>
      <c r="V49" s="10">
        <f>AVERAGE(R49:T49)</f>
        <v>3.3333333333333335</v>
      </c>
      <c r="W49">
        <v>5</v>
      </c>
      <c r="X49">
        <v>3</v>
      </c>
      <c r="Y49">
        <v>1</v>
      </c>
      <c r="Z49">
        <v>1</v>
      </c>
      <c r="AA49">
        <v>1</v>
      </c>
      <c r="AB49">
        <v>1</v>
      </c>
      <c r="AC49">
        <f>SUM(W49:AB49)</f>
        <v>12</v>
      </c>
      <c r="AD49" s="10">
        <f>AVERAGE(W49:AB49)</f>
        <v>2</v>
      </c>
      <c r="AE49">
        <v>1</v>
      </c>
      <c r="AF49">
        <v>2</v>
      </c>
      <c r="AG49">
        <v>1</v>
      </c>
      <c r="AH49">
        <f>SUM(AE49:AG49)</f>
        <v>4</v>
      </c>
      <c r="AI49" s="10">
        <f>AVERAGE(AE49:AG49)</f>
        <v>1.3333333333333333</v>
      </c>
      <c r="AJ49">
        <v>2</v>
      </c>
      <c r="AK49">
        <v>1</v>
      </c>
      <c r="AL49">
        <v>1</v>
      </c>
      <c r="AM49">
        <v>2</v>
      </c>
      <c r="AN49">
        <f>SUM(AJ49:AM49)</f>
        <v>6</v>
      </c>
      <c r="AO49" s="10">
        <f>AVERAGE(AJ49:AM49)</f>
        <v>1.5</v>
      </c>
      <c r="AP49" t="s">
        <v>144</v>
      </c>
      <c r="AQ49" t="s">
        <v>61</v>
      </c>
      <c r="AR49" s="10">
        <f>AVERAGE(E49:I49,L49:O49,R49:T49,W49:AB49,AE49:AG49)</f>
        <v>2.8095238095238093</v>
      </c>
      <c r="AS49" s="10">
        <f>_xlfn.STDEV.S(E49:I49,L49:O49,R49:T49,W49:AB49)</f>
        <v>1.2589548523523149</v>
      </c>
      <c r="AT49" s="10">
        <f>AVERAGE(AE49:AG49)</f>
        <v>1.3333333333333333</v>
      </c>
      <c r="AU49" s="10">
        <f>_xlfn.STDEV.S(AE49:AG49)</f>
        <v>0.57735026918962584</v>
      </c>
      <c r="AV49" s="10">
        <f>AVERAGE(AJ49:AM49)</f>
        <v>1.5</v>
      </c>
      <c r="AW49" s="10">
        <f>_xlfn.STDEV.S(AJ49:AM49)</f>
        <v>0.57735026918962573</v>
      </c>
      <c r="AX49" s="10">
        <f>AVERAGE(AR49,AT49,AV49)</f>
        <v>1.8809523809523807</v>
      </c>
      <c r="AY49" s="10">
        <f>_xlfn.STDEV.S(E49:I49,L49:O49,R49:T49,W49:AB49,AE49:AG49,AJ49:AM49)</f>
        <v>1.3228756555322954</v>
      </c>
      <c r="AZ49">
        <f>_xlfn.RANK.AVG(AR49, $AR$3:$AR$76, 1)</f>
        <v>17</v>
      </c>
      <c r="BA49">
        <f>_xlfn.RANK.AVG(AT49, $AT$3:$AT$76, 1)</f>
        <v>23.5</v>
      </c>
      <c r="BB49">
        <f>_xlfn.RANK.AVG(AV49, $AV$3:$AV$76, 1)</f>
        <v>16.5</v>
      </c>
    </row>
    <row r="50" spans="1:54" ht="14.5" hidden="1" x14ac:dyDescent="0.35">
      <c r="A50" t="s">
        <v>48</v>
      </c>
      <c r="D50" t="s">
        <v>145</v>
      </c>
      <c r="AP50" t="s">
        <v>142</v>
      </c>
      <c r="AR50" s="10"/>
    </row>
    <row r="51" spans="1:54" ht="14.5" hidden="1" x14ac:dyDescent="0.35">
      <c r="A51" t="s">
        <v>48</v>
      </c>
      <c r="D51" t="s">
        <v>146</v>
      </c>
      <c r="AP51" t="s">
        <v>147</v>
      </c>
      <c r="AR51" s="10"/>
    </row>
    <row r="52" spans="1:54" ht="14.5" hidden="1" x14ac:dyDescent="0.35">
      <c r="A52" t="s">
        <v>48</v>
      </c>
      <c r="D52" t="s">
        <v>148</v>
      </c>
      <c r="AP52" t="s">
        <v>149</v>
      </c>
      <c r="AR52" s="10"/>
    </row>
    <row r="53" spans="1:54" ht="14.5" x14ac:dyDescent="0.35">
      <c r="A53" t="s">
        <v>48</v>
      </c>
      <c r="B53" t="s">
        <v>53</v>
      </c>
      <c r="D53" t="s">
        <v>150</v>
      </c>
      <c r="E53">
        <v>2</v>
      </c>
      <c r="F53">
        <v>2</v>
      </c>
      <c r="G53">
        <v>3</v>
      </c>
      <c r="H53">
        <v>4</v>
      </c>
      <c r="I53">
        <v>3</v>
      </c>
      <c r="J53">
        <f>SUM(E53:I53)</f>
        <v>14</v>
      </c>
      <c r="K53" s="13">
        <f>AVERAGE(E53:I53)</f>
        <v>2.8</v>
      </c>
      <c r="L53">
        <v>5</v>
      </c>
      <c r="M53">
        <v>4</v>
      </c>
      <c r="N53">
        <v>4</v>
      </c>
      <c r="O53">
        <v>5</v>
      </c>
      <c r="P53">
        <f>SUM(L53:O53)</f>
        <v>18</v>
      </c>
      <c r="Q53" s="10">
        <f>AVERAGE(L53:O53)</f>
        <v>4.5</v>
      </c>
      <c r="R53">
        <v>4</v>
      </c>
      <c r="S53">
        <v>5</v>
      </c>
      <c r="T53">
        <v>4</v>
      </c>
      <c r="U53">
        <f>SUM(R53:T53)</f>
        <v>13</v>
      </c>
      <c r="V53" s="10">
        <f>AVERAGE(R53:T53)</f>
        <v>4.333333333333333</v>
      </c>
      <c r="W53">
        <v>4</v>
      </c>
      <c r="X53">
        <v>4</v>
      </c>
      <c r="Y53">
        <v>2</v>
      </c>
      <c r="Z53">
        <v>1</v>
      </c>
      <c r="AA53">
        <v>2</v>
      </c>
      <c r="AB53">
        <v>1</v>
      </c>
      <c r="AC53">
        <f>SUM(W53:AB53)</f>
        <v>14</v>
      </c>
      <c r="AD53" s="10">
        <f>AVERAGE(W53:AB53)</f>
        <v>2.3333333333333335</v>
      </c>
      <c r="AE53">
        <v>1</v>
      </c>
      <c r="AF53">
        <v>2</v>
      </c>
      <c r="AG53">
        <v>1</v>
      </c>
      <c r="AH53">
        <f>SUM(AE53:AG53)</f>
        <v>4</v>
      </c>
      <c r="AI53" s="10">
        <f>AVERAGE(AE53:AG53)</f>
        <v>1.3333333333333333</v>
      </c>
      <c r="AJ53">
        <v>1</v>
      </c>
      <c r="AK53">
        <v>1</v>
      </c>
      <c r="AL53">
        <v>1</v>
      </c>
      <c r="AM53">
        <v>2</v>
      </c>
      <c r="AN53">
        <f>SUM(AJ53:AM53)</f>
        <v>5</v>
      </c>
      <c r="AO53" s="10">
        <f>AVERAGE(AJ53:AM53)</f>
        <v>1.25</v>
      </c>
      <c r="AP53" t="s">
        <v>151</v>
      </c>
      <c r="AQ53" t="s">
        <v>61</v>
      </c>
      <c r="AR53" s="10">
        <f>AVERAGE(E53:I53,L53:O53,R53:T53,W53:AB53,AE53:AG53)</f>
        <v>3</v>
      </c>
      <c r="AS53" s="10">
        <f>_xlfn.STDEV.S(E53:I53,L53:O53,R53:T53,W53:AB53)</f>
        <v>1.3197840980097757</v>
      </c>
      <c r="AT53" s="10">
        <f>AVERAGE(AE53:AG53)</f>
        <v>1.3333333333333333</v>
      </c>
      <c r="AU53" s="10">
        <f>_xlfn.STDEV.S(AE53:AG53)</f>
        <v>0.57735026918962584</v>
      </c>
      <c r="AV53" s="10">
        <f>AVERAGE(AJ53:AM53)</f>
        <v>1.25</v>
      </c>
      <c r="AW53" s="10">
        <f>_xlfn.STDEV.S(AJ53:AM53)</f>
        <v>0.5</v>
      </c>
      <c r="AX53" s="10">
        <f>AVERAGE(AR53,AT53,AV53)</f>
        <v>1.8611111111111109</v>
      </c>
      <c r="AY53" s="10">
        <f>_xlfn.STDEV.S(E53:I53,L53:O53,R53:T53,W53:AB53,AE53:AG53,AJ53:AM53)</f>
        <v>1.4583095236151571</v>
      </c>
      <c r="AZ53">
        <f>_xlfn.RANK.AVG(AR53, $AR$3:$AR$76, 1)</f>
        <v>24.5</v>
      </c>
      <c r="BA53">
        <f>_xlfn.RANK.AVG(AT53, $AT$3:$AT$76, 1)</f>
        <v>23.5</v>
      </c>
      <c r="BB53">
        <f>_xlfn.RANK.AVG(AV53, $AV$3:$AV$76, 1)</f>
        <v>12.5</v>
      </c>
    </row>
    <row r="54" spans="1:54" ht="14.5" hidden="1" x14ac:dyDescent="0.35">
      <c r="A54" t="s">
        <v>48</v>
      </c>
      <c r="D54" t="s">
        <v>152</v>
      </c>
      <c r="AP54" t="s">
        <v>142</v>
      </c>
      <c r="AR54" s="10"/>
    </row>
    <row r="55" spans="1:54" ht="14.5" x14ac:dyDescent="0.35">
      <c r="A55" t="s">
        <v>48</v>
      </c>
      <c r="B55" t="s">
        <v>53</v>
      </c>
      <c r="D55" t="s">
        <v>153</v>
      </c>
      <c r="E55">
        <v>1</v>
      </c>
      <c r="F55">
        <v>1</v>
      </c>
      <c r="G55">
        <v>3</v>
      </c>
      <c r="H55">
        <v>3</v>
      </c>
      <c r="I55">
        <v>4</v>
      </c>
      <c r="J55">
        <f>SUM(E55:I55)</f>
        <v>12</v>
      </c>
      <c r="K55" s="13">
        <f>AVERAGE(E55:I55)</f>
        <v>2.4</v>
      </c>
      <c r="L55">
        <v>5</v>
      </c>
      <c r="M55">
        <v>5</v>
      </c>
      <c r="N55">
        <v>5</v>
      </c>
      <c r="O55">
        <v>5</v>
      </c>
      <c r="P55">
        <f>SUM(L55:O55)</f>
        <v>20</v>
      </c>
      <c r="Q55" s="10">
        <f>AVERAGE(L55:O55)</f>
        <v>5</v>
      </c>
      <c r="R55">
        <v>4</v>
      </c>
      <c r="S55">
        <v>4</v>
      </c>
      <c r="T55">
        <v>3</v>
      </c>
      <c r="U55">
        <f>SUM(R55:T55)</f>
        <v>11</v>
      </c>
      <c r="V55" s="10">
        <f>AVERAGE(R55:T55)</f>
        <v>3.6666666666666665</v>
      </c>
      <c r="W55">
        <v>4</v>
      </c>
      <c r="X55">
        <v>3</v>
      </c>
      <c r="Y55" t="s">
        <v>53</v>
      </c>
      <c r="Z55" t="s">
        <v>53</v>
      </c>
      <c r="AA55" t="s">
        <v>53</v>
      </c>
      <c r="AB55">
        <v>1</v>
      </c>
      <c r="AC55">
        <f>SUM(W55:AB55)</f>
        <v>8</v>
      </c>
      <c r="AD55" s="10">
        <f>AVERAGE(W55:AB55)</f>
        <v>2.6666666666666665</v>
      </c>
      <c r="AE55">
        <v>1</v>
      </c>
      <c r="AF55">
        <v>1</v>
      </c>
      <c r="AG55">
        <v>1</v>
      </c>
      <c r="AH55">
        <f>SUM(AE55:AG55)</f>
        <v>3</v>
      </c>
      <c r="AI55" s="10">
        <f>AVERAGE(AE55:AG55)</f>
        <v>1</v>
      </c>
      <c r="AJ55">
        <v>2</v>
      </c>
      <c r="AK55">
        <v>2</v>
      </c>
      <c r="AL55">
        <v>1</v>
      </c>
      <c r="AM55">
        <v>2</v>
      </c>
      <c r="AN55">
        <f>SUM(AJ55:AM55)</f>
        <v>7</v>
      </c>
      <c r="AO55" s="10">
        <f>AVERAGE(AJ55:AM55)</f>
        <v>1.75</v>
      </c>
      <c r="AP55" t="s">
        <v>154</v>
      </c>
      <c r="AQ55" t="s">
        <v>61</v>
      </c>
      <c r="AR55" s="10">
        <f>AVERAGE(E55:I55,L55:O55,R55:T55,W55:AB55,AE55:AG55,AJ55:AM55)</f>
        <v>2.7727272727272729</v>
      </c>
      <c r="AS55" s="10">
        <f>_xlfn.STDEV.S(E55:I55,L55:O55,R55:T55,W55:AB55)</f>
        <v>1.4540583599999395</v>
      </c>
      <c r="AT55" s="10">
        <f>AVERAGE(AE55:AG55)</f>
        <v>1</v>
      </c>
      <c r="AU55" s="10">
        <f>_xlfn.STDEV.S(AE55:AG55)</f>
        <v>0</v>
      </c>
      <c r="AV55" s="10">
        <f>AVERAGE(AJ55:AM55)</f>
        <v>1.75</v>
      </c>
      <c r="AW55" s="10">
        <f>_xlfn.STDEV.S(AJ55:AM55)</f>
        <v>0.5</v>
      </c>
      <c r="AX55" s="10">
        <f>AVERAGE(AR55,AT55,AV55)</f>
        <v>1.8409090909090911</v>
      </c>
      <c r="AY55" s="10">
        <f t="shared" ref="AY55:AY58" si="49">_xlfn.STDEV.S(E55:I55,L55:O55,R55:T55,W55:AB55,AE55:AG55,AJ55:AM55)</f>
        <v>1.5409279264322764</v>
      </c>
      <c r="AZ55">
        <f>_xlfn.RANK.AVG(AR55, $AR$3:$AR$76, 1)</f>
        <v>16</v>
      </c>
      <c r="BA55">
        <f>_xlfn.RANK.AVG(AT55, $AT$3:$AT$76, 1)</f>
        <v>5.5</v>
      </c>
      <c r="BB55">
        <f>_xlfn.RANK.AVG(AV55, $AV$3:$AV$76, 1)</f>
        <v>19.5</v>
      </c>
    </row>
    <row r="56" spans="1:54" ht="14.5" x14ac:dyDescent="0.35">
      <c r="A56" t="s">
        <v>48</v>
      </c>
      <c r="B56" t="s">
        <v>53</v>
      </c>
      <c r="D56" t="s">
        <v>155</v>
      </c>
      <c r="E56">
        <v>2</v>
      </c>
      <c r="F56">
        <v>2</v>
      </c>
      <c r="G56">
        <v>3</v>
      </c>
      <c r="H56">
        <v>4</v>
      </c>
      <c r="I56">
        <v>3</v>
      </c>
      <c r="J56">
        <f>SUM(E56:I56)</f>
        <v>14</v>
      </c>
      <c r="K56" s="13">
        <f>AVERAGE(E56:I56)</f>
        <v>2.8</v>
      </c>
      <c r="L56">
        <v>5</v>
      </c>
      <c r="M56">
        <v>5</v>
      </c>
      <c r="N56">
        <v>5</v>
      </c>
      <c r="O56">
        <v>5</v>
      </c>
      <c r="P56">
        <f>SUM(L56:O56)</f>
        <v>20</v>
      </c>
      <c r="Q56" s="10">
        <f>AVERAGE(L56:O56)</f>
        <v>5</v>
      </c>
      <c r="R56">
        <v>4</v>
      </c>
      <c r="S56">
        <v>4</v>
      </c>
      <c r="T56">
        <v>4</v>
      </c>
      <c r="U56">
        <f>SUM(R56:T56)</f>
        <v>12</v>
      </c>
      <c r="V56" s="10">
        <f>AVERAGE(R56:T56)</f>
        <v>4</v>
      </c>
      <c r="W56">
        <v>4</v>
      </c>
      <c r="X56">
        <v>2</v>
      </c>
      <c r="Y56" t="s">
        <v>53</v>
      </c>
      <c r="Z56" t="s">
        <v>53</v>
      </c>
      <c r="AA56" t="s">
        <v>53</v>
      </c>
      <c r="AB56">
        <v>1</v>
      </c>
      <c r="AC56">
        <f>SUM(W56:AB56)</f>
        <v>7</v>
      </c>
      <c r="AD56" s="10">
        <f>AVERAGE(W56:AB56)</f>
        <v>2.3333333333333335</v>
      </c>
      <c r="AE56">
        <v>1</v>
      </c>
      <c r="AF56">
        <v>2</v>
      </c>
      <c r="AG56">
        <v>1</v>
      </c>
      <c r="AH56">
        <f>SUM(AE56:AG56)</f>
        <v>4</v>
      </c>
      <c r="AI56" s="10">
        <f>AVERAGE(AE56:AG56)</f>
        <v>1.3333333333333333</v>
      </c>
      <c r="AJ56">
        <v>1</v>
      </c>
      <c r="AK56">
        <v>1</v>
      </c>
      <c r="AL56">
        <v>1</v>
      </c>
      <c r="AM56">
        <v>1</v>
      </c>
      <c r="AN56">
        <f>SUM(AJ56:AM56)</f>
        <v>4</v>
      </c>
      <c r="AO56" s="10">
        <f>AVERAGE(AJ56:AM56)</f>
        <v>1</v>
      </c>
      <c r="AP56" t="s">
        <v>156</v>
      </c>
      <c r="AQ56" t="s">
        <v>61</v>
      </c>
      <c r="AR56" s="10">
        <f>AVERAGE(E56:I56,L56:O56,R56:T56,W56:AB56,AE56:AG56)</f>
        <v>3.1666666666666665</v>
      </c>
      <c r="AS56" s="10">
        <f>_xlfn.STDEV.S(E56:I56,L56:O56,R56:T56,W56:AB56)</f>
        <v>1.302013093343571</v>
      </c>
      <c r="AT56" s="10">
        <f>AVERAGE(AE56:AG56)</f>
        <v>1.3333333333333333</v>
      </c>
      <c r="AU56" s="10">
        <f>_xlfn.STDEV.S(AE56:AG56)</f>
        <v>0.57735026918962584</v>
      </c>
      <c r="AV56" s="10">
        <f>AVERAGE(AJ56:AM56)</f>
        <v>1</v>
      </c>
      <c r="AW56" s="10">
        <f>_xlfn.STDEV.S(AJ56:AM56)</f>
        <v>0</v>
      </c>
      <c r="AX56" s="10">
        <f>AVERAGE(AR56,AT56,AV56)</f>
        <v>1.8333333333333333</v>
      </c>
      <c r="AY56" s="10">
        <f t="shared" si="49"/>
        <v>1.5715269548108204</v>
      </c>
      <c r="AZ56">
        <f>_xlfn.RANK.AVG(AR56, $AR$3:$AR$76, 1)</f>
        <v>30</v>
      </c>
      <c r="BA56">
        <f>_xlfn.RANK.AVG(AT56, $AT$3:$AT$76, 1)</f>
        <v>23.5</v>
      </c>
      <c r="BB56">
        <f>_xlfn.RANK.AVG(AV56, $AV$3:$AV$76, 1)</f>
        <v>5</v>
      </c>
    </row>
    <row r="57" spans="1:54" ht="14.5" x14ac:dyDescent="0.35">
      <c r="A57" t="s">
        <v>48</v>
      </c>
      <c r="B57" t="s">
        <v>53</v>
      </c>
      <c r="D57" t="s">
        <v>157</v>
      </c>
      <c r="E57">
        <v>1</v>
      </c>
      <c r="F57">
        <v>1</v>
      </c>
      <c r="G57">
        <v>2</v>
      </c>
      <c r="H57">
        <v>3</v>
      </c>
      <c r="I57">
        <v>5</v>
      </c>
      <c r="J57">
        <f>SUM(E57:I57)</f>
        <v>12</v>
      </c>
      <c r="K57" s="13">
        <f>AVERAGE(E57:I57)</f>
        <v>2.4</v>
      </c>
      <c r="L57">
        <v>5</v>
      </c>
      <c r="M57">
        <v>5</v>
      </c>
      <c r="N57">
        <v>5</v>
      </c>
      <c r="O57">
        <v>5</v>
      </c>
      <c r="P57">
        <f>SUM(L57:O57)</f>
        <v>20</v>
      </c>
      <c r="Q57" s="10">
        <f>AVERAGE(L57:O57)</f>
        <v>5</v>
      </c>
      <c r="R57">
        <v>5</v>
      </c>
      <c r="S57">
        <v>3</v>
      </c>
      <c r="T57">
        <v>2</v>
      </c>
      <c r="U57">
        <f>SUM(R57:T57)</f>
        <v>10</v>
      </c>
      <c r="V57" s="10">
        <f>AVERAGE(R57:T57)</f>
        <v>3.3333333333333335</v>
      </c>
      <c r="W57">
        <v>5</v>
      </c>
      <c r="X57">
        <v>3</v>
      </c>
      <c r="Y57" t="s">
        <v>53</v>
      </c>
      <c r="Z57" t="s">
        <v>53</v>
      </c>
      <c r="AA57" t="s">
        <v>53</v>
      </c>
      <c r="AB57">
        <v>1</v>
      </c>
      <c r="AC57">
        <f>SUM(W57:AB57)</f>
        <v>9</v>
      </c>
      <c r="AD57" s="10">
        <f>AVERAGE(W57:AB57)</f>
        <v>3</v>
      </c>
      <c r="AE57">
        <v>1</v>
      </c>
      <c r="AF57">
        <v>2</v>
      </c>
      <c r="AG57">
        <v>1</v>
      </c>
      <c r="AH57">
        <f>SUM(AE57:AG57)</f>
        <v>4</v>
      </c>
      <c r="AI57" s="10">
        <f>AVERAGE(AE57:AG57)</f>
        <v>1.3333333333333333</v>
      </c>
      <c r="AJ57">
        <v>1</v>
      </c>
      <c r="AK57">
        <v>1</v>
      </c>
      <c r="AL57">
        <v>1</v>
      </c>
      <c r="AM57">
        <v>2</v>
      </c>
      <c r="AN57">
        <f>SUM(AJ57:AM57)</f>
        <v>5</v>
      </c>
      <c r="AO57" s="10">
        <f>AVERAGE(AJ57:AM57)</f>
        <v>1.25</v>
      </c>
      <c r="AP57" t="s">
        <v>158</v>
      </c>
      <c r="AQ57" t="s">
        <v>61</v>
      </c>
      <c r="AR57" s="10">
        <f>AVERAGE(E57:I57,L57:O57,R57:T57,W57:AB57,AE57:AG57,AJ57:AM57)</f>
        <v>2.7272727272727271</v>
      </c>
      <c r="AS57" s="10">
        <f>_xlfn.STDEV.S(E57:I57,L57:O57,R57:T57,W57:AB57)</f>
        <v>1.6818357317441641</v>
      </c>
      <c r="AT57" s="10">
        <f>AVERAGE(AE57:AG57)</f>
        <v>1.3333333333333333</v>
      </c>
      <c r="AU57" s="10">
        <f>_xlfn.STDEV.S(AE57:AG57)</f>
        <v>0.57735026918962584</v>
      </c>
      <c r="AV57" s="10">
        <f>AVERAGE(AJ57:AM57)</f>
        <v>1.25</v>
      </c>
      <c r="AW57" s="10">
        <f>_xlfn.STDEV.S(AJ57:AM57)</f>
        <v>0.5</v>
      </c>
      <c r="AX57" s="10">
        <f>AVERAGE(AR57,AT57,AV57)</f>
        <v>1.7702020202020201</v>
      </c>
      <c r="AY57" s="10">
        <f t="shared" si="49"/>
        <v>1.7232808737106584</v>
      </c>
      <c r="AZ57">
        <f>_xlfn.RANK.AVG(AR57, $AR$3:$AR$76, 1)</f>
        <v>15</v>
      </c>
      <c r="BA57">
        <f>_xlfn.RANK.AVG(AT57, $AT$3:$AT$76, 1)</f>
        <v>23.5</v>
      </c>
      <c r="BB57">
        <f>_xlfn.RANK.AVG(AV57, $AV$3:$AV$76, 1)</f>
        <v>12.5</v>
      </c>
    </row>
    <row r="58" spans="1:54" ht="14.5" x14ac:dyDescent="0.35">
      <c r="A58" t="s">
        <v>48</v>
      </c>
      <c r="B58" t="s">
        <v>53</v>
      </c>
      <c r="D58" t="s">
        <v>159</v>
      </c>
      <c r="E58">
        <v>2</v>
      </c>
      <c r="F58">
        <v>3</v>
      </c>
      <c r="G58">
        <v>1</v>
      </c>
      <c r="H58">
        <v>1</v>
      </c>
      <c r="I58">
        <v>4</v>
      </c>
      <c r="J58">
        <f>SUM(E58:I58)</f>
        <v>11</v>
      </c>
      <c r="K58" s="13">
        <f>AVERAGE(E58:I58)</f>
        <v>2.2000000000000002</v>
      </c>
      <c r="L58">
        <v>4</v>
      </c>
      <c r="M58">
        <v>4</v>
      </c>
      <c r="N58">
        <v>4</v>
      </c>
      <c r="O58">
        <v>3</v>
      </c>
      <c r="P58">
        <f>SUM(L58:O58)</f>
        <v>15</v>
      </c>
      <c r="Q58" s="10">
        <f>AVERAGE(L58:O58)</f>
        <v>3.75</v>
      </c>
      <c r="R58">
        <v>4</v>
      </c>
      <c r="S58">
        <v>3</v>
      </c>
      <c r="T58">
        <v>3</v>
      </c>
      <c r="U58">
        <f>SUM(R58:T58)</f>
        <v>10</v>
      </c>
      <c r="V58" s="10">
        <f>AVERAGE(R58:T58)</f>
        <v>3.3333333333333335</v>
      </c>
      <c r="W58">
        <v>4</v>
      </c>
      <c r="X58">
        <v>3</v>
      </c>
      <c r="Y58" t="s">
        <v>53</v>
      </c>
      <c r="Z58" t="s">
        <v>53</v>
      </c>
      <c r="AA58" t="s">
        <v>53</v>
      </c>
      <c r="AB58">
        <v>1</v>
      </c>
      <c r="AC58">
        <f>SUM(W58:AB58)</f>
        <v>8</v>
      </c>
      <c r="AD58" s="10">
        <f>AVERAGE(W58:AB58)</f>
        <v>2.6666666666666665</v>
      </c>
      <c r="AE58">
        <v>1</v>
      </c>
      <c r="AF58">
        <v>2</v>
      </c>
      <c r="AG58">
        <v>1</v>
      </c>
      <c r="AH58">
        <f>SUM(AE58:AG58)</f>
        <v>4</v>
      </c>
      <c r="AI58" s="10">
        <f>AVERAGE(AE58:AG58)</f>
        <v>1.3333333333333333</v>
      </c>
      <c r="AJ58">
        <v>1</v>
      </c>
      <c r="AK58">
        <v>1</v>
      </c>
      <c r="AL58">
        <v>1</v>
      </c>
      <c r="AM58">
        <v>2</v>
      </c>
      <c r="AN58">
        <f>SUM(AJ58:AM58)</f>
        <v>5</v>
      </c>
      <c r="AO58" s="10">
        <f>AVERAGE(AJ58:AM58)</f>
        <v>1.25</v>
      </c>
      <c r="AP58" t="s">
        <v>160</v>
      </c>
      <c r="AQ58" t="s">
        <v>61</v>
      </c>
      <c r="AR58" s="10">
        <f>AVERAGE(E58:I58,L58:O58,R58:T58,W58:AB58,AE58:AG58)</f>
        <v>2.6666666666666665</v>
      </c>
      <c r="AS58" s="10">
        <f>_xlfn.STDEV.S(E58:I58,L58:O58,R58:T58,W58:AB58)</f>
        <v>1.1629191512658792</v>
      </c>
      <c r="AT58" s="10">
        <f>AVERAGE(AE58:AG58)</f>
        <v>1.3333333333333333</v>
      </c>
      <c r="AU58" s="10">
        <f>_xlfn.STDEV.S(AE58:AG58)</f>
        <v>0.57735026918962584</v>
      </c>
      <c r="AV58" s="10">
        <f>AVERAGE(AJ58:AM58)</f>
        <v>1.25</v>
      </c>
      <c r="AW58" s="10">
        <f>_xlfn.STDEV.S(AJ58:AM58)</f>
        <v>0.5</v>
      </c>
      <c r="AX58" s="10">
        <f>AVERAGE(AR58,AT58,AV58)</f>
        <v>1.75</v>
      </c>
      <c r="AY58" s="10">
        <f t="shared" si="49"/>
        <v>1.2595952074297863</v>
      </c>
      <c r="AZ58">
        <f>_xlfn.RANK.AVG(AR58, $AR$3:$AR$76, 1)</f>
        <v>13</v>
      </c>
      <c r="BA58">
        <f>_xlfn.RANK.AVG(AT58, $AT$3:$AT$76, 1)</f>
        <v>23.5</v>
      </c>
      <c r="BB58">
        <f>_xlfn.RANK.AVG(AV58, $AV$3:$AV$76, 1)</f>
        <v>12.5</v>
      </c>
    </row>
    <row r="59" spans="1:54" ht="14.5" hidden="1" x14ac:dyDescent="0.35">
      <c r="A59" t="s">
        <v>48</v>
      </c>
      <c r="D59" t="s">
        <v>161</v>
      </c>
      <c r="AP59" t="s">
        <v>162</v>
      </c>
      <c r="AR59" s="10"/>
    </row>
    <row r="60" spans="1:54" ht="14.5" x14ac:dyDescent="0.35">
      <c r="A60" t="s">
        <v>48</v>
      </c>
      <c r="B60" t="s">
        <v>53</v>
      </c>
      <c r="D60" s="6" t="s">
        <v>163</v>
      </c>
      <c r="E60">
        <v>1</v>
      </c>
      <c r="F60">
        <v>1</v>
      </c>
      <c r="G60">
        <v>2</v>
      </c>
      <c r="H60">
        <v>2</v>
      </c>
      <c r="I60">
        <v>4</v>
      </c>
      <c r="J60">
        <f>SUM(E60:I60)</f>
        <v>10</v>
      </c>
      <c r="K60" s="13">
        <f>AVERAGE(E60:I60)</f>
        <v>2</v>
      </c>
      <c r="L60">
        <v>5</v>
      </c>
      <c r="M60">
        <v>5</v>
      </c>
      <c r="N60">
        <v>5</v>
      </c>
      <c r="O60">
        <v>5</v>
      </c>
      <c r="P60">
        <f>SUM(L60:O60)</f>
        <v>20</v>
      </c>
      <c r="Q60" s="10">
        <f>AVERAGE(L60:O60)</f>
        <v>5</v>
      </c>
      <c r="R60">
        <v>4</v>
      </c>
      <c r="S60">
        <v>4</v>
      </c>
      <c r="T60">
        <v>4</v>
      </c>
      <c r="U60">
        <f>SUM(R60:T60)</f>
        <v>12</v>
      </c>
      <c r="V60" s="10">
        <f>AVERAGE(R60:T60)</f>
        <v>4</v>
      </c>
      <c r="W60">
        <v>3</v>
      </c>
      <c r="X60" t="s">
        <v>53</v>
      </c>
      <c r="Y60" t="s">
        <v>53</v>
      </c>
      <c r="Z60" t="s">
        <v>53</v>
      </c>
      <c r="AA60">
        <v>1</v>
      </c>
      <c r="AB60">
        <v>1</v>
      </c>
      <c r="AC60">
        <f>SUM(W60:AB60)</f>
        <v>5</v>
      </c>
      <c r="AD60" s="10">
        <f>AVERAGE(W60:AB60)</f>
        <v>1.6666666666666667</v>
      </c>
      <c r="AE60">
        <v>2</v>
      </c>
      <c r="AF60">
        <v>1</v>
      </c>
      <c r="AG60">
        <v>1</v>
      </c>
      <c r="AH60">
        <f>SUM(AE60:AG60)</f>
        <v>4</v>
      </c>
      <c r="AI60" s="10">
        <f>AVERAGE(AE60:AG60)</f>
        <v>1.3333333333333333</v>
      </c>
      <c r="AJ60">
        <v>1</v>
      </c>
      <c r="AK60">
        <v>1</v>
      </c>
      <c r="AL60">
        <v>1</v>
      </c>
      <c r="AM60">
        <v>2</v>
      </c>
      <c r="AN60">
        <f>SUM(AJ60:AM60)</f>
        <v>5</v>
      </c>
      <c r="AO60" s="10">
        <f>AVERAGE(AJ60:AM60)</f>
        <v>1.25</v>
      </c>
      <c r="AP60" t="s">
        <v>164</v>
      </c>
      <c r="AQ60" t="s">
        <v>61</v>
      </c>
      <c r="AR60" s="10">
        <f>AVERAGE(E60:I60,L60:O60,R60:T60,W60:AB60,AE60:AG60,AJ60:AM60)</f>
        <v>2.5454545454545454</v>
      </c>
      <c r="AS60" s="10">
        <f>_xlfn.STDEV.S(E60:I60,L60:O60,R60:T60,W60:AB60)</f>
        <v>1.641718031587061</v>
      </c>
      <c r="AT60" s="10">
        <f>AVERAGE(AE60:AG60)</f>
        <v>1.3333333333333333</v>
      </c>
      <c r="AU60" s="10">
        <f>_xlfn.STDEV.S(AE60:AG60)</f>
        <v>0.57735026918962584</v>
      </c>
      <c r="AV60" s="10">
        <f>AVERAGE(AJ60:AM60)</f>
        <v>1.25</v>
      </c>
      <c r="AW60" s="10">
        <f>_xlfn.STDEV.S(AJ60:AM60)</f>
        <v>0.5</v>
      </c>
      <c r="AX60" s="10">
        <f>AVERAGE(AR60,AT60,AV60)</f>
        <v>1.7095959595959596</v>
      </c>
      <c r="AY60" s="10">
        <f>_xlfn.STDEV.S(E60:I60,L60:O60,R60:T60,W60:AB60,AE60:AG60,AJ60:AM60)</f>
        <v>1.625020812387534</v>
      </c>
      <c r="AZ60">
        <f>_xlfn.RANK.AVG(AR60, $AR$3:$AR$76, 1)</f>
        <v>8.5</v>
      </c>
      <c r="BA60">
        <f>_xlfn.RANK.AVG(AT60, $AT$3:$AT$76, 1)</f>
        <v>23.5</v>
      </c>
      <c r="BB60">
        <f>_xlfn.RANK.AVG(AV60, $AV$3:$AV$76, 1)</f>
        <v>12.5</v>
      </c>
    </row>
    <row r="61" spans="1:54" ht="14.5" hidden="1" x14ac:dyDescent="0.35">
      <c r="A61" t="s">
        <v>48</v>
      </c>
      <c r="D61" t="s">
        <v>165</v>
      </c>
      <c r="AP61" t="s">
        <v>166</v>
      </c>
      <c r="AR61" s="10"/>
    </row>
    <row r="62" spans="1:54" ht="14.5" x14ac:dyDescent="0.35">
      <c r="A62" t="s">
        <v>48</v>
      </c>
      <c r="B62" t="s">
        <v>53</v>
      </c>
      <c r="D62" t="s">
        <v>167</v>
      </c>
      <c r="E62">
        <v>1</v>
      </c>
      <c r="F62">
        <v>1</v>
      </c>
      <c r="G62">
        <v>2</v>
      </c>
      <c r="H62">
        <v>3</v>
      </c>
      <c r="I62">
        <v>3</v>
      </c>
      <c r="J62">
        <f>SUM(E62:I62)</f>
        <v>10</v>
      </c>
      <c r="K62" s="13">
        <f>AVERAGE(E62:I62)</f>
        <v>2</v>
      </c>
      <c r="L62">
        <v>5</v>
      </c>
      <c r="M62">
        <v>4</v>
      </c>
      <c r="N62">
        <v>5</v>
      </c>
      <c r="O62">
        <v>5</v>
      </c>
      <c r="P62">
        <f>SUM(L62:O62)</f>
        <v>19</v>
      </c>
      <c r="Q62" s="10">
        <f>AVERAGE(L62:O62)</f>
        <v>4.75</v>
      </c>
      <c r="R62">
        <v>4</v>
      </c>
      <c r="S62">
        <v>4</v>
      </c>
      <c r="T62">
        <v>3</v>
      </c>
      <c r="U62">
        <f>SUM(R62:T62)</f>
        <v>11</v>
      </c>
      <c r="V62" s="10">
        <f>AVERAGE(R62:T62)</f>
        <v>3.6666666666666665</v>
      </c>
      <c r="W62">
        <v>3</v>
      </c>
      <c r="X62">
        <v>3</v>
      </c>
      <c r="Y62" t="s">
        <v>53</v>
      </c>
      <c r="Z62" t="s">
        <v>53</v>
      </c>
      <c r="AA62" t="s">
        <v>53</v>
      </c>
      <c r="AB62">
        <v>1</v>
      </c>
      <c r="AC62">
        <f>SUM(W62:AB62)</f>
        <v>7</v>
      </c>
      <c r="AD62" s="10">
        <f>AVERAGE(W62:AB62)</f>
        <v>2.3333333333333335</v>
      </c>
      <c r="AE62">
        <v>1</v>
      </c>
      <c r="AF62">
        <v>1</v>
      </c>
      <c r="AG62">
        <v>1</v>
      </c>
      <c r="AH62">
        <f>SUM(AE62:AG62)</f>
        <v>3</v>
      </c>
      <c r="AI62" s="10">
        <f>AVERAGE(AE62:AG62)</f>
        <v>1</v>
      </c>
      <c r="AJ62">
        <v>1</v>
      </c>
      <c r="AK62">
        <v>1</v>
      </c>
      <c r="AL62">
        <v>1</v>
      </c>
      <c r="AM62">
        <v>2</v>
      </c>
      <c r="AN62">
        <f>SUM(AJ62:AM62)</f>
        <v>5</v>
      </c>
      <c r="AO62" s="10">
        <f>AVERAGE(AJ62:AM62)</f>
        <v>1.25</v>
      </c>
      <c r="AP62" t="s">
        <v>168</v>
      </c>
      <c r="AQ62" t="s">
        <v>61</v>
      </c>
      <c r="AR62" s="10">
        <f>AVERAGE(E62:I62,L62:O62,R62:T62,W62:AB62,AE62:AG62,AJ62:AM62)</f>
        <v>2.5</v>
      </c>
      <c r="AS62" s="10">
        <f>_xlfn.STDEV.S(E62:I62,L62:O62,R62:T62,W62:AB62)</f>
        <v>1.4074631010979932</v>
      </c>
      <c r="AT62" s="10">
        <f>AVERAGE(AE62:AG62)</f>
        <v>1</v>
      </c>
      <c r="AU62" s="10">
        <f>_xlfn.STDEV.S(AE62:AG62)</f>
        <v>0</v>
      </c>
      <c r="AV62" s="10">
        <f>AVERAGE(AJ62:AM62)</f>
        <v>1.25</v>
      </c>
      <c r="AW62" s="10">
        <f>_xlfn.STDEV.S(AJ62:AM62)</f>
        <v>0.5</v>
      </c>
      <c r="AX62" s="10">
        <f>AVERAGE(AR62,AT62,AV62)</f>
        <v>1.5833333333333333</v>
      </c>
      <c r="AY62" s="10">
        <f t="shared" ref="AY62:AY63" si="50">_xlfn.STDEV.S(E62:I62,L62:O62,R62:T62,W62:AB62,AE62:AG62,AJ62:AM62)</f>
        <v>1.5039630187955959</v>
      </c>
      <c r="AZ62">
        <f>_xlfn.RANK.AVG(AR62, $AR$3:$AR$76, 1)</f>
        <v>7</v>
      </c>
      <c r="BA62">
        <f>_xlfn.RANK.AVG(AT62, $AT$3:$AT$76, 1)</f>
        <v>5.5</v>
      </c>
      <c r="BB62">
        <f>_xlfn.RANK.AVG(AV62, $AV$3:$AV$76, 1)</f>
        <v>12.5</v>
      </c>
    </row>
    <row r="63" spans="1:54" ht="14.5" x14ac:dyDescent="0.35">
      <c r="A63" t="s">
        <v>48</v>
      </c>
      <c r="B63" t="s">
        <v>53</v>
      </c>
      <c r="D63" t="s">
        <v>169</v>
      </c>
      <c r="E63">
        <v>2</v>
      </c>
      <c r="F63">
        <v>2</v>
      </c>
      <c r="G63">
        <v>2</v>
      </c>
      <c r="H63">
        <v>2</v>
      </c>
      <c r="I63">
        <v>5</v>
      </c>
      <c r="J63">
        <f>SUM(E63:I63)</f>
        <v>13</v>
      </c>
      <c r="K63" s="13">
        <f>AVERAGE(E63:I63)</f>
        <v>2.6</v>
      </c>
      <c r="L63">
        <v>5</v>
      </c>
      <c r="M63">
        <v>4</v>
      </c>
      <c r="N63">
        <v>5</v>
      </c>
      <c r="O63">
        <v>4</v>
      </c>
      <c r="P63">
        <f>SUM(L63:O63)</f>
        <v>18</v>
      </c>
      <c r="Q63" s="10">
        <f>AVERAGE(L63:O63)</f>
        <v>4.5</v>
      </c>
      <c r="R63">
        <v>4</v>
      </c>
      <c r="S63">
        <v>3</v>
      </c>
      <c r="T63">
        <v>3</v>
      </c>
      <c r="U63">
        <f>SUM(R63:T63)</f>
        <v>10</v>
      </c>
      <c r="V63" s="10">
        <f>AVERAGE(R63:T63)</f>
        <v>3.3333333333333335</v>
      </c>
      <c r="W63">
        <v>5</v>
      </c>
      <c r="X63">
        <v>3</v>
      </c>
      <c r="Y63" t="s">
        <v>53</v>
      </c>
      <c r="Z63" t="s">
        <v>53</v>
      </c>
      <c r="AA63" t="s">
        <v>53</v>
      </c>
      <c r="AB63">
        <v>1</v>
      </c>
      <c r="AC63">
        <f>SUM(W63:AB63)</f>
        <v>9</v>
      </c>
      <c r="AD63" s="10">
        <f>AVERAGE(W63:AB63)</f>
        <v>3</v>
      </c>
      <c r="AE63">
        <v>1</v>
      </c>
      <c r="AF63">
        <v>2</v>
      </c>
      <c r="AG63">
        <v>1</v>
      </c>
      <c r="AH63">
        <f>SUM(AE63:AG63)</f>
        <v>4</v>
      </c>
      <c r="AI63" s="10">
        <f>AVERAGE(AE63:AG63)</f>
        <v>1.3333333333333333</v>
      </c>
      <c r="AJ63">
        <v>1</v>
      </c>
      <c r="AK63">
        <v>1</v>
      </c>
      <c r="AL63">
        <v>1</v>
      </c>
      <c r="AM63">
        <v>1</v>
      </c>
      <c r="AN63">
        <f>SUM(AJ63:AM63)</f>
        <v>4</v>
      </c>
      <c r="AO63" s="10">
        <f>AVERAGE(AJ63:AM63)</f>
        <v>1</v>
      </c>
      <c r="AP63" t="s">
        <v>170</v>
      </c>
      <c r="AQ63" t="s">
        <v>61</v>
      </c>
      <c r="AR63" s="10">
        <f>AVERAGE(E63:I63,L63:O63,R63:T63,W63:AB63,AE63:AG63,AJ63:AM63)</f>
        <v>2.6363636363636362</v>
      </c>
      <c r="AS63" s="10">
        <f>_xlfn.STDEV.S(E63:I63,L63:O63,R63:T63,W63:AB63)</f>
        <v>1.3451854182690988</v>
      </c>
      <c r="AT63" s="10">
        <f>AVERAGE(AE63:AG63)</f>
        <v>1.3333333333333333</v>
      </c>
      <c r="AU63" s="10">
        <f>_xlfn.STDEV.S(AE63:AG63)</f>
        <v>0.57735026918962584</v>
      </c>
      <c r="AV63" s="10">
        <f>AVERAGE(AJ63:AM63)</f>
        <v>1</v>
      </c>
      <c r="AW63" s="10">
        <f>_xlfn.STDEV.S(AJ63:AM63)</f>
        <v>0</v>
      </c>
      <c r="AX63" s="10">
        <f>AVERAGE(AR63,AT63,AV63)</f>
        <v>1.6565656565656566</v>
      </c>
      <c r="AY63" s="10">
        <f t="shared" si="50"/>
        <v>1.5289415743128767</v>
      </c>
      <c r="AZ63">
        <f>_xlfn.RANK.AVG(AR63, $AR$3:$AR$76, 1)</f>
        <v>12</v>
      </c>
      <c r="BA63">
        <f>_xlfn.RANK.AVG(AT63, $AT$3:$AT$76, 1)</f>
        <v>23.5</v>
      </c>
      <c r="BB63">
        <f>_xlfn.RANK.AVG(AV63, $AV$3:$AV$76, 1)</f>
        <v>5</v>
      </c>
    </row>
    <row r="64" spans="1:54" ht="14.5" hidden="1" x14ac:dyDescent="0.35">
      <c r="A64" t="s">
        <v>48</v>
      </c>
      <c r="D64" t="s">
        <v>171</v>
      </c>
      <c r="AP64" t="s">
        <v>172</v>
      </c>
      <c r="AR64" s="10"/>
    </row>
    <row r="65" spans="1:58" ht="14.5" hidden="1" x14ac:dyDescent="0.35">
      <c r="A65" t="s">
        <v>48</v>
      </c>
      <c r="D65" t="s">
        <v>173</v>
      </c>
      <c r="AP65" t="s">
        <v>174</v>
      </c>
      <c r="AR65" s="10"/>
    </row>
    <row r="66" spans="1:58" ht="14.5" x14ac:dyDescent="0.35">
      <c r="A66" t="s">
        <v>48</v>
      </c>
      <c r="B66">
        <v>3</v>
      </c>
      <c r="D66" t="s">
        <v>175</v>
      </c>
      <c r="E66">
        <v>1</v>
      </c>
      <c r="F66">
        <v>1</v>
      </c>
      <c r="G66">
        <v>2</v>
      </c>
      <c r="H66">
        <v>2</v>
      </c>
      <c r="I66">
        <v>3</v>
      </c>
      <c r="J66">
        <f>SUM(E66:I66)</f>
        <v>9</v>
      </c>
      <c r="K66" s="13">
        <f>AVERAGE(E66:I66)</f>
        <v>1.8</v>
      </c>
      <c r="L66">
        <v>5</v>
      </c>
      <c r="M66">
        <v>4</v>
      </c>
      <c r="N66">
        <v>5</v>
      </c>
      <c r="O66">
        <v>5</v>
      </c>
      <c r="P66">
        <f>SUM(L66:O66)</f>
        <v>19</v>
      </c>
      <c r="Q66" s="10">
        <f>AVERAGE(L66:O66)</f>
        <v>4.75</v>
      </c>
      <c r="R66">
        <v>2</v>
      </c>
      <c r="S66">
        <v>2</v>
      </c>
      <c r="T66">
        <v>2</v>
      </c>
      <c r="U66">
        <f>SUM(R66:T66)</f>
        <v>6</v>
      </c>
      <c r="V66" s="10">
        <f>AVERAGE(R66:T66)</f>
        <v>2</v>
      </c>
      <c r="W66">
        <v>5</v>
      </c>
      <c r="X66">
        <v>3</v>
      </c>
      <c r="Y66">
        <v>3</v>
      </c>
      <c r="Z66">
        <v>2</v>
      </c>
      <c r="AA66">
        <v>3</v>
      </c>
      <c r="AB66">
        <v>1</v>
      </c>
      <c r="AC66">
        <f>SUM(W66:AB66)</f>
        <v>17</v>
      </c>
      <c r="AD66" s="10">
        <f>AVERAGE(W66:AB66)</f>
        <v>2.8333333333333335</v>
      </c>
      <c r="AE66">
        <v>1</v>
      </c>
      <c r="AF66">
        <v>2</v>
      </c>
      <c r="AG66">
        <v>1</v>
      </c>
      <c r="AH66">
        <f>SUM(AE66:AG66)</f>
        <v>4</v>
      </c>
      <c r="AI66" s="10">
        <f>AVERAGE(AE66:AG66)</f>
        <v>1.3333333333333333</v>
      </c>
      <c r="AJ66">
        <v>1</v>
      </c>
      <c r="AK66">
        <v>1</v>
      </c>
      <c r="AL66">
        <v>1</v>
      </c>
      <c r="AM66">
        <v>1</v>
      </c>
      <c r="AN66">
        <f>SUM(AJ66:AM66)</f>
        <v>4</v>
      </c>
      <c r="AO66" s="10">
        <f>AVERAGE(AJ66:AM66)</f>
        <v>1</v>
      </c>
      <c r="AP66" t="s">
        <v>176</v>
      </c>
      <c r="AQ66" t="s">
        <v>61</v>
      </c>
      <c r="AR66" s="10">
        <f>AVERAGE(E66:I66,L66:O66,R66:T66,W66:AB66,AE66:AG66)</f>
        <v>2.6190476190476191</v>
      </c>
      <c r="AS66" s="10">
        <f>_xlfn.STDEV.S(E66:I66,L66:O66,R66:T66,W66:AB66)</f>
        <v>1.4245742398014511</v>
      </c>
      <c r="AT66" s="10">
        <f>AVERAGE(AE66:AG66)</f>
        <v>1.3333333333333333</v>
      </c>
      <c r="AU66" s="10">
        <f>_xlfn.STDEV.S(AE66:AG66)</f>
        <v>0.57735026918962584</v>
      </c>
      <c r="AV66" s="10">
        <f>AVERAGE(AJ66:AM66)</f>
        <v>1</v>
      </c>
      <c r="AW66" s="10">
        <f>_xlfn.STDEV.S(AJ66:AM66)</f>
        <v>0</v>
      </c>
      <c r="AX66" s="10">
        <f>AVERAGE(AR66,AT66,AV66)</f>
        <v>1.6507936507936509</v>
      </c>
      <c r="AY66" s="10">
        <f t="shared" ref="AY66:AY68" si="51">_xlfn.STDEV.S(E66:I66,L66:O66,R66:T66,W66:AB66,AE66:AG66,AJ66:AM66)</f>
        <v>1.4399074044303448</v>
      </c>
      <c r="AZ66">
        <f>_xlfn.RANK.AVG(AR66, $AR$3:$AR$76, 1)</f>
        <v>11</v>
      </c>
      <c r="BA66">
        <f>_xlfn.RANK.AVG(AT66, $AT$3:$AT$76, 1)</f>
        <v>23.5</v>
      </c>
      <c r="BB66">
        <f>_xlfn.RANK.AVG(AV66, $AV$3:$AV$76, 1)</f>
        <v>5</v>
      </c>
    </row>
    <row r="67" spans="1:58" ht="14.5" x14ac:dyDescent="0.35">
      <c r="A67" t="s">
        <v>58</v>
      </c>
      <c r="C67" t="s">
        <v>53</v>
      </c>
      <c r="D67" t="s">
        <v>177</v>
      </c>
      <c r="E67">
        <v>1</v>
      </c>
      <c r="F67">
        <v>1</v>
      </c>
      <c r="G67">
        <v>1</v>
      </c>
      <c r="H67">
        <v>2</v>
      </c>
      <c r="I67">
        <v>3</v>
      </c>
      <c r="J67">
        <f>SUM(E67:I67)</f>
        <v>8</v>
      </c>
      <c r="K67" s="13">
        <f>AVERAGE(E67:I67)</f>
        <v>1.6</v>
      </c>
      <c r="L67">
        <v>2</v>
      </c>
      <c r="M67">
        <v>4</v>
      </c>
      <c r="N67">
        <v>4</v>
      </c>
      <c r="O67">
        <v>4</v>
      </c>
      <c r="P67">
        <f>SUM(L67:O67)</f>
        <v>14</v>
      </c>
      <c r="Q67" s="10">
        <f>AVERAGE(L67:O67)</f>
        <v>3.5</v>
      </c>
      <c r="R67">
        <v>1</v>
      </c>
      <c r="S67">
        <v>1</v>
      </c>
      <c r="T67">
        <v>1</v>
      </c>
      <c r="U67">
        <f>SUM(R67:T67)</f>
        <v>3</v>
      </c>
      <c r="V67" s="10">
        <f>AVERAGE(R67:T67)</f>
        <v>1</v>
      </c>
      <c r="W67">
        <v>4</v>
      </c>
      <c r="X67">
        <v>3</v>
      </c>
      <c r="Y67">
        <v>2</v>
      </c>
      <c r="Z67">
        <v>3</v>
      </c>
      <c r="AA67" t="s">
        <v>53</v>
      </c>
      <c r="AB67">
        <v>1</v>
      </c>
      <c r="AC67">
        <f>SUM(W67:AB67)</f>
        <v>13</v>
      </c>
      <c r="AD67" s="10">
        <f>AVERAGE(W67:AB67)</f>
        <v>2.6</v>
      </c>
      <c r="AE67">
        <v>1</v>
      </c>
      <c r="AF67">
        <v>3</v>
      </c>
      <c r="AG67">
        <v>1</v>
      </c>
      <c r="AH67">
        <f>SUM(AE67:AG67)</f>
        <v>5</v>
      </c>
      <c r="AI67" s="10">
        <f>AVERAGE(AE67:AG67)</f>
        <v>1.6666666666666667</v>
      </c>
      <c r="AJ67">
        <v>1</v>
      </c>
      <c r="AK67">
        <v>1</v>
      </c>
      <c r="AL67">
        <v>1</v>
      </c>
      <c r="AM67">
        <v>1</v>
      </c>
      <c r="AN67">
        <f>SUM(AJ67:AM67)</f>
        <v>4</v>
      </c>
      <c r="AO67" s="10">
        <f>AVERAGE(AJ67:AM67)</f>
        <v>1</v>
      </c>
      <c r="AP67" t="s">
        <v>178</v>
      </c>
      <c r="AQ67" t="s">
        <v>48</v>
      </c>
      <c r="AR67" s="10">
        <f>AVERAGE(E67:I67,L67:O67,R67:T67,W67:AB67,AE67:AG67)</f>
        <v>2.15</v>
      </c>
      <c r="AS67" s="10">
        <f>_xlfn.STDEV.S(E67:I67,L67:O67,R67:T67,W67:AB67)</f>
        <v>1.2514697241996051</v>
      </c>
      <c r="AT67" s="10">
        <f>AVERAGE(AE67:AG67)</f>
        <v>1.6666666666666667</v>
      </c>
      <c r="AU67" s="10">
        <f>_xlfn.STDEV.S(AE67:AG67)</f>
        <v>1.1547005383792515</v>
      </c>
      <c r="AV67" s="10">
        <f>AVERAGE(AJ67:AM67)</f>
        <v>1</v>
      </c>
      <c r="AW67" s="10">
        <f>_xlfn.STDEV.S(AJ67:AM67)</f>
        <v>0</v>
      </c>
      <c r="AX67" s="10">
        <f>AVERAGE(AR67,AT67,AV67)</f>
        <v>1.6055555555555554</v>
      </c>
      <c r="AY67" s="10">
        <f t="shared" si="51"/>
        <v>1.1970676733137326</v>
      </c>
      <c r="AZ67">
        <f>_xlfn.RANK.AVG(AR67, $AR$3:$AR$76, 1)</f>
        <v>4</v>
      </c>
      <c r="BA67">
        <f>_xlfn.RANK.AVG(AT67, $AT$3:$AT$76, 1)</f>
        <v>39.5</v>
      </c>
      <c r="BB67">
        <f>_xlfn.RANK.AVG(AV67, $AV$3:$AV$76, 1)</f>
        <v>5</v>
      </c>
    </row>
    <row r="68" spans="1:58" ht="14.5" x14ac:dyDescent="0.35">
      <c r="A68" t="s">
        <v>48</v>
      </c>
      <c r="B68" t="s">
        <v>53</v>
      </c>
      <c r="D68" t="s">
        <v>179</v>
      </c>
      <c r="E68">
        <v>1</v>
      </c>
      <c r="F68">
        <v>1</v>
      </c>
      <c r="G68">
        <v>2</v>
      </c>
      <c r="H68">
        <v>2</v>
      </c>
      <c r="I68">
        <v>4</v>
      </c>
      <c r="J68">
        <f>SUM(E68:I68)</f>
        <v>10</v>
      </c>
      <c r="K68" s="13">
        <f>AVERAGE(E68:I68)</f>
        <v>2</v>
      </c>
      <c r="L68">
        <v>5</v>
      </c>
      <c r="M68">
        <v>5</v>
      </c>
      <c r="N68">
        <v>5</v>
      </c>
      <c r="O68">
        <v>5</v>
      </c>
      <c r="P68">
        <f>SUM(L68:O68)</f>
        <v>20</v>
      </c>
      <c r="Q68" s="10">
        <f>AVERAGE(L68:O68)</f>
        <v>5</v>
      </c>
      <c r="R68">
        <v>4</v>
      </c>
      <c r="S68">
        <v>3</v>
      </c>
      <c r="T68">
        <v>3</v>
      </c>
      <c r="U68">
        <f>SUM(R68:T68)</f>
        <v>10</v>
      </c>
      <c r="V68" s="10">
        <f>AVERAGE(R68:T68)</f>
        <v>3.3333333333333335</v>
      </c>
      <c r="W68">
        <v>4</v>
      </c>
      <c r="X68">
        <v>3</v>
      </c>
      <c r="Y68" t="s">
        <v>53</v>
      </c>
      <c r="Z68" t="s">
        <v>53</v>
      </c>
      <c r="AA68" t="s">
        <v>53</v>
      </c>
      <c r="AB68">
        <v>1</v>
      </c>
      <c r="AC68">
        <f>SUM(W68:AB68)</f>
        <v>8</v>
      </c>
      <c r="AD68" s="10">
        <f>AVERAGE(W68:AB68)</f>
        <v>2.6666666666666665</v>
      </c>
      <c r="AE68">
        <v>1</v>
      </c>
      <c r="AF68">
        <v>1</v>
      </c>
      <c r="AG68">
        <v>1</v>
      </c>
      <c r="AH68">
        <f>SUM(AE68:AG68)</f>
        <v>3</v>
      </c>
      <c r="AI68" s="10">
        <f>AVERAGE(AE68:AG68)</f>
        <v>1</v>
      </c>
      <c r="AJ68">
        <v>1</v>
      </c>
      <c r="AK68">
        <v>1</v>
      </c>
      <c r="AL68">
        <v>1</v>
      </c>
      <c r="AM68">
        <v>2</v>
      </c>
      <c r="AN68">
        <f>SUM(AJ68:AM68)</f>
        <v>5</v>
      </c>
      <c r="AO68" s="10">
        <f>AVERAGE(AJ68:AM68)</f>
        <v>1.25</v>
      </c>
      <c r="AP68" t="s">
        <v>180</v>
      </c>
      <c r="AQ68" t="s">
        <v>61</v>
      </c>
      <c r="AR68" s="10">
        <f>AVERAGE(E68:I68,L68:O68,R68:T68,W68:AB68,AE68:AG68,AJ68:AM68)</f>
        <v>2.5454545454545454</v>
      </c>
      <c r="AS68" s="10">
        <f>_xlfn.STDEV.S(E68:I68,L68:O68,R68:T68,W68:AB68)</f>
        <v>1.5212776585113299</v>
      </c>
      <c r="AT68" s="10">
        <f>AVERAGE(AE68:AG68)</f>
        <v>1</v>
      </c>
      <c r="AU68" s="10">
        <f>_xlfn.STDEV.S(AE68:AG68)</f>
        <v>0</v>
      </c>
      <c r="AV68" s="10">
        <f>AVERAGE(AJ68:AM68)</f>
        <v>1.25</v>
      </c>
      <c r="AW68" s="10">
        <f>_xlfn.STDEV.S(AJ68:AM68)</f>
        <v>0.5</v>
      </c>
      <c r="AX68" s="10">
        <f>AVERAGE(AR68,AT68,AV68)</f>
        <v>1.5984848484848484</v>
      </c>
      <c r="AY68" s="10">
        <f t="shared" si="51"/>
        <v>1.5954480704349314</v>
      </c>
      <c r="AZ68">
        <f>_xlfn.RANK.AVG(AR68, $AR$3:$AR$76, 1)</f>
        <v>8.5</v>
      </c>
      <c r="BA68">
        <f>_xlfn.RANK.AVG(AT68, $AT$3:$AT$76, 1)</f>
        <v>5.5</v>
      </c>
      <c r="BB68">
        <f>_xlfn.RANK.AVG(AV68, $AV$3:$AV$76, 1)</f>
        <v>12.5</v>
      </c>
    </row>
    <row r="69" spans="1:58" ht="14.5" hidden="1" x14ac:dyDescent="0.35">
      <c r="A69" t="s">
        <v>48</v>
      </c>
      <c r="D69" t="s">
        <v>181</v>
      </c>
      <c r="AP69" t="s">
        <v>182</v>
      </c>
      <c r="AR69" s="10"/>
    </row>
    <row r="70" spans="1:58" ht="14.5" x14ac:dyDescent="0.35">
      <c r="A70" t="s">
        <v>48</v>
      </c>
      <c r="B70" t="s">
        <v>53</v>
      </c>
      <c r="D70" t="s">
        <v>183</v>
      </c>
      <c r="E70">
        <v>1</v>
      </c>
      <c r="F70">
        <v>1</v>
      </c>
      <c r="G70">
        <v>2</v>
      </c>
      <c r="H70">
        <v>2</v>
      </c>
      <c r="I70">
        <v>3</v>
      </c>
      <c r="J70">
        <f>SUM(E70:I70)</f>
        <v>9</v>
      </c>
      <c r="K70" s="13">
        <f>AVERAGE(E70:I70)</f>
        <v>1.8</v>
      </c>
      <c r="L70">
        <v>3</v>
      </c>
      <c r="M70">
        <v>4</v>
      </c>
      <c r="N70">
        <v>5</v>
      </c>
      <c r="O70">
        <v>4</v>
      </c>
      <c r="P70">
        <f>SUM(L70:O70)</f>
        <v>16</v>
      </c>
      <c r="Q70" s="10">
        <f>AVERAGE(L70:O70)</f>
        <v>4</v>
      </c>
      <c r="R70">
        <v>4</v>
      </c>
      <c r="S70">
        <v>3</v>
      </c>
      <c r="T70">
        <v>2</v>
      </c>
      <c r="U70">
        <f>SUM(R70:T70)</f>
        <v>9</v>
      </c>
      <c r="V70" s="10">
        <f>AVERAGE(R70:T70)</f>
        <v>3</v>
      </c>
      <c r="W70">
        <v>2</v>
      </c>
      <c r="X70">
        <v>2</v>
      </c>
      <c r="Y70" t="s">
        <v>53</v>
      </c>
      <c r="Z70" t="s">
        <v>53</v>
      </c>
      <c r="AA70">
        <v>1</v>
      </c>
      <c r="AB70">
        <v>1</v>
      </c>
      <c r="AC70">
        <f>SUM(W70:AB70)</f>
        <v>6</v>
      </c>
      <c r="AD70" s="10">
        <f>AVERAGE(W70:AB70)</f>
        <v>1.5</v>
      </c>
      <c r="AE70">
        <v>1</v>
      </c>
      <c r="AF70">
        <v>2</v>
      </c>
      <c r="AG70">
        <v>1</v>
      </c>
      <c r="AH70">
        <f>SUM(AE70:AG70)</f>
        <v>4</v>
      </c>
      <c r="AI70" s="10">
        <f>AVERAGE(AE70:AG70)</f>
        <v>1.3333333333333333</v>
      </c>
      <c r="AJ70">
        <v>1</v>
      </c>
      <c r="AK70">
        <v>1</v>
      </c>
      <c r="AL70">
        <v>1</v>
      </c>
      <c r="AM70">
        <v>1</v>
      </c>
      <c r="AN70">
        <f>SUM(AJ70:AM70)</f>
        <v>4</v>
      </c>
      <c r="AO70" s="10">
        <f>AVERAGE(AJ70:AM70)</f>
        <v>1</v>
      </c>
      <c r="AP70" t="s">
        <v>184</v>
      </c>
      <c r="AQ70" t="s">
        <v>61</v>
      </c>
      <c r="AR70" s="10">
        <f>AVERAGE(E70:I70,L70:O70,R70:T70,W70:AB70,AE70:AG70,AJ70:AM70)</f>
        <v>2.0869565217391304</v>
      </c>
      <c r="AS70" s="10">
        <f>_xlfn.STDEV.S(E70:I70,L70:O70,R70:T70,W70:AB70)</f>
        <v>1.2649110640673518</v>
      </c>
      <c r="AT70" s="10">
        <f>AVERAGE(AE70:AG70)</f>
        <v>1.3333333333333333</v>
      </c>
      <c r="AU70" s="10">
        <f>_xlfn.STDEV.S(AE70:AG70)</f>
        <v>0.57735026918962584</v>
      </c>
      <c r="AV70" s="10">
        <f>AVERAGE(AJ70:AM70)</f>
        <v>1</v>
      </c>
      <c r="AW70" s="10">
        <f>_xlfn.STDEV.S(AJ70:AM70)</f>
        <v>0</v>
      </c>
      <c r="AX70" s="10">
        <f>AVERAGE(AR70,AT70,AV70)</f>
        <v>1.4734299516908214</v>
      </c>
      <c r="AY70" s="10">
        <f>_xlfn.STDEV.S(E70:I70,L70:O70,R70:T70,W70:AB70,AE70:AG70,AJ70:AM70)</f>
        <v>1.2399795994751786</v>
      </c>
      <c r="AZ70">
        <f>_xlfn.RANK.AVG(AR70, $AR$3:$AR$76, 1)</f>
        <v>3</v>
      </c>
      <c r="BA70">
        <f>_xlfn.RANK.AVG(AT70, $AT$3:$AT$76, 1)</f>
        <v>23.5</v>
      </c>
      <c r="BB70">
        <f>_xlfn.RANK.AVG(AV70, $AV$3:$AV$76, 1)</f>
        <v>5</v>
      </c>
    </row>
    <row r="71" spans="1:58" ht="14.5" hidden="1" x14ac:dyDescent="0.35">
      <c r="A71" t="s">
        <v>48</v>
      </c>
      <c r="D71" t="s">
        <v>185</v>
      </c>
      <c r="AP71" t="s">
        <v>142</v>
      </c>
      <c r="AR71" s="10"/>
    </row>
    <row r="72" spans="1:58" ht="14.5" x14ac:dyDescent="0.35">
      <c r="A72" t="s">
        <v>48</v>
      </c>
      <c r="B72" t="s">
        <v>53</v>
      </c>
      <c r="D72" t="s">
        <v>186</v>
      </c>
      <c r="E72">
        <v>2</v>
      </c>
      <c r="F72">
        <v>2</v>
      </c>
      <c r="G72">
        <v>1</v>
      </c>
      <c r="H72">
        <v>1</v>
      </c>
      <c r="I72">
        <v>3</v>
      </c>
      <c r="J72">
        <f>SUM(E72:I72)</f>
        <v>9</v>
      </c>
      <c r="K72" s="13">
        <f>AVERAGE(E72:I72)</f>
        <v>1.8</v>
      </c>
      <c r="L72">
        <v>5</v>
      </c>
      <c r="M72">
        <v>5</v>
      </c>
      <c r="N72">
        <v>5</v>
      </c>
      <c r="O72">
        <v>5</v>
      </c>
      <c r="P72">
        <f>SUM(L72:O72)</f>
        <v>20</v>
      </c>
      <c r="Q72" s="10">
        <f>AVERAGE(L72:O72)</f>
        <v>5</v>
      </c>
      <c r="R72">
        <v>3</v>
      </c>
      <c r="S72">
        <v>3</v>
      </c>
      <c r="T72">
        <v>3</v>
      </c>
      <c r="U72">
        <f>SUM(R72:T72)</f>
        <v>9</v>
      </c>
      <c r="V72" s="10">
        <f>AVERAGE(R72:T72)</f>
        <v>3</v>
      </c>
      <c r="W72">
        <v>5</v>
      </c>
      <c r="X72">
        <v>2</v>
      </c>
      <c r="Y72" t="s">
        <v>53</v>
      </c>
      <c r="Z72" t="s">
        <v>53</v>
      </c>
      <c r="AA72" t="s">
        <v>53</v>
      </c>
      <c r="AB72">
        <v>1</v>
      </c>
      <c r="AC72">
        <f>SUM(W72:AB72)</f>
        <v>8</v>
      </c>
      <c r="AD72" s="10">
        <f>AVERAGE(W72:AB72)</f>
        <v>2.6666666666666665</v>
      </c>
      <c r="AE72">
        <v>1</v>
      </c>
      <c r="AF72">
        <v>1</v>
      </c>
      <c r="AG72">
        <v>1</v>
      </c>
      <c r="AH72">
        <f>SUM(AE72:AG72)</f>
        <v>3</v>
      </c>
      <c r="AI72" s="10">
        <f>AVERAGE(AE72:AG72)</f>
        <v>1</v>
      </c>
      <c r="AJ72">
        <v>1</v>
      </c>
      <c r="AK72">
        <v>1</v>
      </c>
      <c r="AL72">
        <v>1</v>
      </c>
      <c r="AM72">
        <v>1</v>
      </c>
      <c r="AN72">
        <f>SUM(AJ72:AM72)</f>
        <v>4</v>
      </c>
      <c r="AO72" s="10">
        <f>AVERAGE(AJ72:AM72)</f>
        <v>1</v>
      </c>
      <c r="AP72" t="s">
        <v>187</v>
      </c>
      <c r="AQ72" t="s">
        <v>61</v>
      </c>
      <c r="AR72" s="10">
        <f>AVERAGE(E72:I72,L72:O72,R72:T72,W72:AB72,AE72:AG72,AJ72:AM72)</f>
        <v>2.4090909090909092</v>
      </c>
      <c r="AS72" s="10">
        <f>_xlfn.STDEV.S(E72:I72,L72:O72,R72:T72,W72:AB72)</f>
        <v>1.5796322658258459</v>
      </c>
      <c r="AT72" s="10">
        <f>AVERAGE(AE72:AG72)</f>
        <v>1</v>
      </c>
      <c r="AU72" s="10">
        <f>_xlfn.STDEV.S(AE72:AG72)</f>
        <v>0</v>
      </c>
      <c r="AV72" s="10">
        <f>AVERAGE(AJ72:AM72)</f>
        <v>1</v>
      </c>
      <c r="AW72" s="10">
        <f>_xlfn.STDEV.S(AJ72:AM72)</f>
        <v>0</v>
      </c>
      <c r="AX72" s="10">
        <f>AVERAGE(AR72,AT72,AV72)</f>
        <v>1.4696969696969697</v>
      </c>
      <c r="AY72" s="10">
        <f t="shared" ref="AY72:AY74" si="52">_xlfn.STDEV.S(E72:I72,L72:O72,R72:T72,W72:AB72,AE72:AG72,AJ72:AM72)</f>
        <v>1.6230216062021892</v>
      </c>
      <c r="AZ72">
        <f>_xlfn.RANK.AVG(AR72, $AR$3:$AR$76, 1)</f>
        <v>6</v>
      </c>
      <c r="BA72">
        <f>_xlfn.RANK.AVG(AT72, $AT$3:$AT$76, 1)</f>
        <v>5.5</v>
      </c>
      <c r="BB72">
        <f>_xlfn.RANK.AVG(AV72, $AV$3:$AV$76, 1)</f>
        <v>5</v>
      </c>
    </row>
    <row r="73" spans="1:58" ht="14.5" x14ac:dyDescent="0.35">
      <c r="A73" t="s">
        <v>48</v>
      </c>
      <c r="B73" t="s">
        <v>53</v>
      </c>
      <c r="D73" t="s">
        <v>188</v>
      </c>
      <c r="E73">
        <v>1</v>
      </c>
      <c r="F73">
        <v>1</v>
      </c>
      <c r="G73">
        <v>2</v>
      </c>
      <c r="H73">
        <v>2</v>
      </c>
      <c r="I73">
        <v>4</v>
      </c>
      <c r="J73">
        <f>SUM(E73:I73)</f>
        <v>10</v>
      </c>
      <c r="K73" s="13">
        <f>AVERAGE(E73:I73)</f>
        <v>2</v>
      </c>
      <c r="L73">
        <v>2</v>
      </c>
      <c r="M73">
        <v>5</v>
      </c>
      <c r="N73">
        <v>5</v>
      </c>
      <c r="O73">
        <v>5</v>
      </c>
      <c r="P73">
        <f>SUM(L73:O73)</f>
        <v>17</v>
      </c>
      <c r="Q73" s="10">
        <f>AVERAGE(L73:O73)</f>
        <v>4.25</v>
      </c>
      <c r="R73">
        <v>3</v>
      </c>
      <c r="S73">
        <v>3</v>
      </c>
      <c r="T73">
        <v>3</v>
      </c>
      <c r="U73">
        <f>SUM(R73:T73)</f>
        <v>9</v>
      </c>
      <c r="V73" s="10">
        <f>AVERAGE(R73:T73)</f>
        <v>3</v>
      </c>
      <c r="W73">
        <v>2</v>
      </c>
      <c r="X73">
        <v>2</v>
      </c>
      <c r="Y73">
        <v>2</v>
      </c>
      <c r="Z73">
        <v>2</v>
      </c>
      <c r="AA73" t="s">
        <v>53</v>
      </c>
      <c r="AB73">
        <v>1</v>
      </c>
      <c r="AC73">
        <f>SUM(W73:AB73)</f>
        <v>9</v>
      </c>
      <c r="AD73" s="10">
        <f>AVERAGE(W73:AB73)</f>
        <v>1.8</v>
      </c>
      <c r="AE73">
        <v>1</v>
      </c>
      <c r="AF73">
        <v>1</v>
      </c>
      <c r="AG73">
        <v>1</v>
      </c>
      <c r="AH73">
        <f>SUM(AE73:AG73)</f>
        <v>3</v>
      </c>
      <c r="AI73" s="10">
        <f>AVERAGE(AE73:AG73)</f>
        <v>1</v>
      </c>
      <c r="AJ73">
        <v>1</v>
      </c>
      <c r="AK73">
        <v>1</v>
      </c>
      <c r="AL73">
        <v>1</v>
      </c>
      <c r="AM73">
        <v>1</v>
      </c>
      <c r="AN73">
        <f>SUM(AJ73:AM73)</f>
        <v>4</v>
      </c>
      <c r="AO73" s="10">
        <f>AVERAGE(AJ73:AM73)</f>
        <v>1</v>
      </c>
      <c r="AP73" t="s">
        <v>189</v>
      </c>
      <c r="AQ73" t="s">
        <v>61</v>
      </c>
      <c r="AR73" s="10">
        <f>AVERAGE(E73:I73,L73:O73,R73:T73,W73:AB73,AE73:AG73)</f>
        <v>2.4</v>
      </c>
      <c r="AS73" s="10">
        <f>_xlfn.STDEV.S(E73:I73,L73:O73,R73:T73,W73:AB73)</f>
        <v>1.3666188418222285</v>
      </c>
      <c r="AT73" s="10">
        <f>AVERAGE(AE73:AG73)</f>
        <v>1</v>
      </c>
      <c r="AU73" s="10">
        <f>_xlfn.STDEV.S(AE73:AG73)</f>
        <v>0</v>
      </c>
      <c r="AV73" s="10">
        <f>AVERAGE(AJ73:AM73)</f>
        <v>1</v>
      </c>
      <c r="AW73" s="10">
        <f>_xlfn.STDEV.S(AJ73:AM73)</f>
        <v>0</v>
      </c>
      <c r="AX73" s="10">
        <f>AVERAGE(AR73,AT73,AV73)</f>
        <v>1.4666666666666668</v>
      </c>
      <c r="AY73" s="10">
        <f t="shared" si="52"/>
        <v>1.3726099121798927</v>
      </c>
      <c r="AZ73">
        <f>_xlfn.RANK.AVG(AR73, $AR$3:$AR$76, 1)</f>
        <v>5</v>
      </c>
      <c r="BA73">
        <f>_xlfn.RANK.AVG(AT73, $AT$3:$AT$76, 1)</f>
        <v>5.5</v>
      </c>
      <c r="BB73">
        <f>_xlfn.RANK.AVG(AV73, $AV$3:$AV$76, 1)</f>
        <v>5</v>
      </c>
    </row>
    <row r="74" spans="1:58" ht="14.5" x14ac:dyDescent="0.35">
      <c r="A74" t="s">
        <v>58</v>
      </c>
      <c r="C74" t="s">
        <v>53</v>
      </c>
      <c r="D74" t="s">
        <v>190</v>
      </c>
      <c r="E74">
        <v>1</v>
      </c>
      <c r="F74">
        <v>2</v>
      </c>
      <c r="G74">
        <v>1</v>
      </c>
      <c r="H74">
        <v>1</v>
      </c>
      <c r="I74">
        <v>3</v>
      </c>
      <c r="J74">
        <f>SUM(E74:I74)</f>
        <v>8</v>
      </c>
      <c r="K74" s="13">
        <f>AVERAGE(E74:I74)</f>
        <v>1.6</v>
      </c>
      <c r="L74">
        <v>4</v>
      </c>
      <c r="M74">
        <v>4</v>
      </c>
      <c r="N74">
        <v>4</v>
      </c>
      <c r="O74">
        <v>3</v>
      </c>
      <c r="P74">
        <f>SUM(L74:O74)</f>
        <v>15</v>
      </c>
      <c r="Q74" s="10">
        <f>AVERAGE(L74:O74)</f>
        <v>3.75</v>
      </c>
      <c r="R74">
        <v>2</v>
      </c>
      <c r="S74">
        <v>1</v>
      </c>
      <c r="T74">
        <v>1</v>
      </c>
      <c r="U74">
        <f>SUM(R74:T74)</f>
        <v>4</v>
      </c>
      <c r="V74" s="10">
        <f>AVERAGE(R74:T74)</f>
        <v>1.3333333333333333</v>
      </c>
      <c r="W74">
        <v>4</v>
      </c>
      <c r="X74">
        <v>2</v>
      </c>
      <c r="Y74">
        <v>2</v>
      </c>
      <c r="Z74">
        <v>2</v>
      </c>
      <c r="AA74">
        <v>1</v>
      </c>
      <c r="AB74">
        <v>1</v>
      </c>
      <c r="AC74">
        <f>SUM(W74:AB74)</f>
        <v>12</v>
      </c>
      <c r="AD74" s="10">
        <f>AVERAGE(W74:AB74)</f>
        <v>2</v>
      </c>
      <c r="AE74">
        <v>1</v>
      </c>
      <c r="AF74">
        <v>2</v>
      </c>
      <c r="AG74">
        <v>1</v>
      </c>
      <c r="AH74">
        <f>SUM(AE74:AG74)</f>
        <v>4</v>
      </c>
      <c r="AI74" s="10">
        <f>AVERAGE(AE74:AG74)</f>
        <v>1.3333333333333333</v>
      </c>
      <c r="AJ74">
        <v>1</v>
      </c>
      <c r="AK74">
        <v>1</v>
      </c>
      <c r="AL74">
        <v>1</v>
      </c>
      <c r="AM74">
        <v>1</v>
      </c>
      <c r="AN74">
        <f>SUM(AJ74:AM74)</f>
        <v>4</v>
      </c>
      <c r="AO74" s="10">
        <f>AVERAGE(AJ74:AM74)</f>
        <v>1</v>
      </c>
      <c r="AP74" t="s">
        <v>191</v>
      </c>
      <c r="AQ74" t="s">
        <v>48</v>
      </c>
      <c r="AR74" s="10">
        <f>AVERAGE(E74:I74,L74:O74,R74:T74,W74:AB74,AE74:AG74)</f>
        <v>2.0476190476190474</v>
      </c>
      <c r="AS74" s="10">
        <f>_xlfn.STDEV.S(E74:I74,L74:O74,R74:T74,W74:AB74)</f>
        <v>1.200490095997562</v>
      </c>
      <c r="AT74" s="10">
        <f>AVERAGE(AE74:AG74)</f>
        <v>1.3333333333333333</v>
      </c>
      <c r="AU74" s="10">
        <f>_xlfn.STDEV.S(AE74:AG74)</f>
        <v>0.57735026918962584</v>
      </c>
      <c r="AV74" s="10">
        <f>AVERAGE(AJ74:AM74)</f>
        <v>1</v>
      </c>
      <c r="AW74" s="10">
        <f>_xlfn.STDEV.S(AJ74:AM74)</f>
        <v>0</v>
      </c>
      <c r="AX74" s="10">
        <f>AVERAGE(AR74,AT74,AV74)</f>
        <v>1.4603174603174602</v>
      </c>
      <c r="AY74" s="10">
        <f t="shared" si="52"/>
        <v>1.1298967504452195</v>
      </c>
      <c r="AZ74">
        <f>_xlfn.RANK.AVG(AR74, $AR$3:$AR$76, 1)</f>
        <v>2</v>
      </c>
      <c r="BA74">
        <f>_xlfn.RANK.AVG(AT74, $AT$3:$AT$76, 1)</f>
        <v>23.5</v>
      </c>
      <c r="BB74">
        <f>_xlfn.RANK.AVG(AV74, $AV$3:$AV$76, 1)</f>
        <v>5</v>
      </c>
    </row>
    <row r="75" spans="1:58" ht="14.5" hidden="1" x14ac:dyDescent="0.35">
      <c r="A75" t="s">
        <v>48</v>
      </c>
      <c r="D75" t="s">
        <v>192</v>
      </c>
      <c r="AP75" t="s">
        <v>142</v>
      </c>
      <c r="AR75" s="10"/>
    </row>
    <row r="76" spans="1:58" thickBot="1" x14ac:dyDescent="0.4">
      <c r="A76" s="11" t="s">
        <v>58</v>
      </c>
      <c r="B76" s="11"/>
      <c r="C76" s="11" t="s">
        <v>53</v>
      </c>
      <c r="D76" s="11" t="s">
        <v>193</v>
      </c>
      <c r="E76" s="11">
        <v>1</v>
      </c>
      <c r="F76" s="11">
        <v>1</v>
      </c>
      <c r="G76" s="11">
        <v>2</v>
      </c>
      <c r="H76" s="11">
        <v>1</v>
      </c>
      <c r="I76" s="11">
        <v>2</v>
      </c>
      <c r="J76" s="11">
        <f>SUM(E76:I76)</f>
        <v>7</v>
      </c>
      <c r="K76" s="16">
        <f>AVERAGE(E76:I76)</f>
        <v>1.4</v>
      </c>
      <c r="L76" s="11">
        <v>3</v>
      </c>
      <c r="M76" s="11">
        <v>3</v>
      </c>
      <c r="N76" s="11">
        <v>3</v>
      </c>
      <c r="O76" s="11">
        <v>2</v>
      </c>
      <c r="P76" s="11">
        <f>SUM(L76:O76)</f>
        <v>11</v>
      </c>
      <c r="Q76" s="17">
        <f>AVERAGE(L76:O76)</f>
        <v>2.75</v>
      </c>
      <c r="R76" s="11">
        <v>2</v>
      </c>
      <c r="S76" s="11">
        <v>2</v>
      </c>
      <c r="T76" s="11">
        <v>2</v>
      </c>
      <c r="U76" s="11">
        <f>SUM(R76:T76)</f>
        <v>6</v>
      </c>
      <c r="V76" s="17">
        <f>AVERAGE(R76:T76)</f>
        <v>2</v>
      </c>
      <c r="W76" s="11">
        <v>3</v>
      </c>
      <c r="X76" s="11">
        <v>2</v>
      </c>
      <c r="Y76" s="11">
        <v>1</v>
      </c>
      <c r="Z76" s="11">
        <v>1</v>
      </c>
      <c r="AA76" s="11" t="s">
        <v>53</v>
      </c>
      <c r="AB76" s="11">
        <v>1</v>
      </c>
      <c r="AC76" s="11">
        <f>SUM(W76:AB76)</f>
        <v>8</v>
      </c>
      <c r="AD76" s="17">
        <f>AVERAGE(W76:AB76)</f>
        <v>1.6</v>
      </c>
      <c r="AE76" s="11">
        <v>1</v>
      </c>
      <c r="AF76" s="11">
        <v>1</v>
      </c>
      <c r="AG76" s="11">
        <v>1</v>
      </c>
      <c r="AH76" s="11">
        <f>SUM(AE76:AG76)</f>
        <v>3</v>
      </c>
      <c r="AI76" s="17">
        <f>AVERAGE(AE76:AG76)</f>
        <v>1</v>
      </c>
      <c r="AJ76" s="11">
        <v>1</v>
      </c>
      <c r="AK76" s="11">
        <v>1</v>
      </c>
      <c r="AL76" s="11">
        <v>1</v>
      </c>
      <c r="AM76" s="11">
        <v>1</v>
      </c>
      <c r="AN76" s="11">
        <f>SUM(AJ76:AM76)</f>
        <v>4</v>
      </c>
      <c r="AO76" s="17">
        <f>AVERAGE(AJ76:AM76)</f>
        <v>1</v>
      </c>
      <c r="AP76" s="11" t="s">
        <v>194</v>
      </c>
      <c r="AQ76" s="11" t="s">
        <v>48</v>
      </c>
      <c r="AR76" s="17">
        <f>AVERAGE(E76:I76,L76:O76,R76:T76,W76:AB76,AE76:AG76)</f>
        <v>1.75</v>
      </c>
      <c r="AS76" s="17">
        <f>_xlfn.STDEV.S(E76:I76,L76:O76,R76:T76,W76:AB76)</f>
        <v>0.78121323442902502</v>
      </c>
      <c r="AT76" s="17">
        <f>AVERAGE(AE76:AG76)</f>
        <v>1</v>
      </c>
      <c r="AU76" s="17">
        <f>_xlfn.STDEV.S(AE76:AG76)</f>
        <v>0</v>
      </c>
      <c r="AV76" s="17">
        <f>AVERAGE(AJ76:AM76)</f>
        <v>1</v>
      </c>
      <c r="AW76" s="17">
        <f>_xlfn.STDEV.S(AJ76:AM76)</f>
        <v>0</v>
      </c>
      <c r="AX76" s="10">
        <f>AVERAGE(AR76,AT76,AV76)</f>
        <v>1.25</v>
      </c>
      <c r="AY76" s="10">
        <f>_xlfn.STDEV.S(E76:I76,L76:O76,R76:T76,W76:AB76,AE76:AG76,AJ76:AM76)</f>
        <v>0.76966960726523825</v>
      </c>
      <c r="AZ76">
        <f>_xlfn.RANK.AVG(AR76, $AR$3:$AR$76, 1)</f>
        <v>1</v>
      </c>
      <c r="BA76">
        <f>_xlfn.RANK.AVG(AT76, $AT$3:$AT$76, 1)</f>
        <v>5.5</v>
      </c>
      <c r="BB76">
        <f>_xlfn.RANK.AVG(AV76, $AV$3:$AV$76, 1)</f>
        <v>5</v>
      </c>
    </row>
    <row r="77" spans="1:58" thickBot="1" x14ac:dyDescent="0.4">
      <c r="D77" s="9" t="s">
        <v>195</v>
      </c>
      <c r="E77" s="10">
        <f>(SUM(E3:E76)/COUNT(E3:E76))</f>
        <v>2.1666666666666665</v>
      </c>
      <c r="F77" s="10">
        <f>(SUM(F3:F76)/COUNT(F3:F76))</f>
        <v>2.25</v>
      </c>
      <c r="G77" s="10">
        <f>(SUM(G3:G76)/COUNT(G3:G76))</f>
        <v>2.5208333333333335</v>
      </c>
      <c r="H77" s="10">
        <f>(SUM(H3:H76)/COUNT(H3:H76))</f>
        <v>2.6041666666666665</v>
      </c>
      <c r="I77" s="10">
        <f>(SUM(I3:I76)/COUNT(I3:I76))</f>
        <v>4.229166666666667</v>
      </c>
      <c r="J77" s="10"/>
      <c r="K77" s="15">
        <f>AVERAGE(K3:K76)</f>
        <v>2.754166666666666</v>
      </c>
      <c r="L77" s="10">
        <f>(SUM(L3:L76)/COUNT(L3:L76))</f>
        <v>4.416666666666667</v>
      </c>
      <c r="M77" s="10">
        <f>(SUM(M3:M76)/COUNT(M3:M76))</f>
        <v>4.354166666666667</v>
      </c>
      <c r="N77" s="10">
        <f>(SUM(N3:N76)/COUNT(N3:N76))</f>
        <v>4.645833333333333</v>
      </c>
      <c r="O77" s="10">
        <f>(SUM(O3:O76)/COUNT(O3:O76))</f>
        <v>4.458333333333333</v>
      </c>
      <c r="P77" s="10"/>
      <c r="Q77" s="15">
        <f>AVERAGE(Q3:Q76)</f>
        <v>4.46875</v>
      </c>
      <c r="R77" s="10">
        <f>(SUM(R3:R76)/COUNT(R3:R76))</f>
        <v>3.9375</v>
      </c>
      <c r="S77" s="10">
        <f>(SUM(S3:S76)/COUNT(S3:S76))</f>
        <v>3.75</v>
      </c>
      <c r="T77" s="10">
        <f>(SUM(T3:T76)/COUNT(T3:T76))</f>
        <v>3.4375</v>
      </c>
      <c r="U77" s="10"/>
      <c r="V77" s="15">
        <f>AVERAGE(V3:V76)</f>
        <v>3.7083333333333339</v>
      </c>
      <c r="W77" s="10">
        <f t="shared" ref="W77:AB77" si="53">(SUM(W3:W76)/COUNT(W3:W76))</f>
        <v>4.270833333333333</v>
      </c>
      <c r="X77" s="10">
        <f t="shared" si="53"/>
        <v>3.0425531914893615</v>
      </c>
      <c r="Y77" s="10">
        <f t="shared" si="53"/>
        <v>2.6</v>
      </c>
      <c r="Z77" s="10">
        <f t="shared" si="53"/>
        <v>2.16</v>
      </c>
      <c r="AA77" s="10">
        <f t="shared" si="53"/>
        <v>2.7037037037037037</v>
      </c>
      <c r="AB77" s="10">
        <f t="shared" si="53"/>
        <v>1.4166666666666667</v>
      </c>
      <c r="AC77" s="10"/>
      <c r="AD77" s="15">
        <f>AVERAGE(AD3:AD76)</f>
        <v>2.7541666666666669</v>
      </c>
      <c r="AE77" s="10">
        <f>(SUM(AE3:AE76)/COUNT(AE3:AE76))</f>
        <v>1.1666666666666667</v>
      </c>
      <c r="AF77" s="10">
        <f>(SUM(AF3:AF76)/COUNT(AF3:AF76))</f>
        <v>2.1041666666666665</v>
      </c>
      <c r="AG77" s="10">
        <f>(SUM(AG3:AG76)/COUNT(AG3:AG76))</f>
        <v>1.0416666666666667</v>
      </c>
      <c r="AH77" s="10"/>
      <c r="AI77" s="15">
        <f>AVERAGE(AI3:AI76)</f>
        <v>1.4375000000000007</v>
      </c>
      <c r="AJ77" s="10">
        <f>(SUM(AJ3:AJ76)/COUNT(AJ3:AJ76))</f>
        <v>2.0625</v>
      </c>
      <c r="AK77" s="10">
        <f>(SUM(AK3:AK76)/COUNT(AK3:AK76))</f>
        <v>2.0833333333333335</v>
      </c>
      <c r="AL77" s="10">
        <f>(SUM(AL3:AL76)/COUNT(AL3:AL76))</f>
        <v>1.0416666666666667</v>
      </c>
      <c r="AM77" s="10">
        <f>(SUM(AM3:AM76)/COUNT(AM3:AM76))</f>
        <v>2.3958333333333335</v>
      </c>
      <c r="AN77" s="10"/>
      <c r="AO77" s="15">
        <f>AVERAGE(AO3:AO76)</f>
        <v>1.8958333333333333</v>
      </c>
      <c r="AR77" s="15">
        <f>AVERAGE(AR3:AR76)</f>
        <v>2.9706353258255427</v>
      </c>
      <c r="AS77" s="10">
        <f>_xlfn.STDEV.S(AR3:AR76)</f>
        <v>0.45971986048710367</v>
      </c>
      <c r="AT77" s="15">
        <f>AVERAGE(AT3:AT76)</f>
        <v>1.4375000000000007</v>
      </c>
      <c r="AU77" s="10">
        <f>_xlfn.STDEV.S(AT3:AT76)</f>
        <v>0.44645305572844224</v>
      </c>
      <c r="AV77" s="15">
        <f>AVERAGE(AV3:AV76)</f>
        <v>1.8958333333333333</v>
      </c>
      <c r="AW77" s="10">
        <f>_xlfn.STDEV.S(AV3:AV76)</f>
        <v>0.6760203740267674</v>
      </c>
      <c r="AX77" s="15">
        <f>AVERAGE(AX3:AX76)</f>
        <v>2.1013228863862916</v>
      </c>
      <c r="AY77" s="10">
        <f>_xlfn.STDEV.S(AX3:AX76)</f>
        <v>0.43242212955325815</v>
      </c>
      <c r="BF77" s="5"/>
    </row>
    <row r="78" spans="1:58" ht="14.5" x14ac:dyDescent="0.35">
      <c r="D78" s="9" t="s">
        <v>196</v>
      </c>
      <c r="E78" s="10">
        <f t="shared" ref="E78:J78" si="54">_xlfn.VAR.S(E3:E76)</f>
        <v>1.2907801418439715</v>
      </c>
      <c r="F78" s="10">
        <f t="shared" si="54"/>
        <v>1.2127659574468086</v>
      </c>
      <c r="G78" s="10">
        <f t="shared" si="54"/>
        <v>0.68040780141844015</v>
      </c>
      <c r="H78" s="10">
        <f t="shared" si="54"/>
        <v>0.71232269503546142</v>
      </c>
      <c r="I78" s="10">
        <f>_xlfn.VAR.S(I3:I76)</f>
        <v>0.77615248226950273</v>
      </c>
      <c r="J78" s="10">
        <f t="shared" si="54"/>
        <v>11.286790780141832</v>
      </c>
      <c r="K78" s="12"/>
      <c r="L78" s="10">
        <f>_xlfn.VAR.S(L3:L76)</f>
        <v>0.75886524822694956</v>
      </c>
      <c r="M78" s="10">
        <f>_xlfn.VAR.S(M3:M76)</f>
        <v>0.40381205673758785</v>
      </c>
      <c r="N78" s="10">
        <f>_xlfn.VAR.S(N3:N76)</f>
        <v>0.36125886524822859</v>
      </c>
      <c r="O78" s="10">
        <f>_xlfn.VAR.S(O3:O76)</f>
        <v>0.55141843971631122</v>
      </c>
      <c r="P78" s="10">
        <f>_xlfn.VAR.S(P3:P76)</f>
        <v>5.0053191489361701</v>
      </c>
      <c r="Q78" s="12"/>
      <c r="R78" s="10">
        <f>_xlfn.VAR.S(R3:R76)</f>
        <v>0.99601063829787229</v>
      </c>
      <c r="S78" s="10">
        <f>_xlfn.VAR.S(S3:S76)</f>
        <v>1.0425531914893618</v>
      </c>
      <c r="T78" s="10">
        <f>_xlfn.VAR.S(T3:T76)</f>
        <v>1.0172872340425532</v>
      </c>
      <c r="U78" s="10">
        <f>_xlfn.VAR.S(U3:U76)</f>
        <v>7.5159574468085104</v>
      </c>
      <c r="V78" s="12"/>
      <c r="W78" s="10">
        <f t="shared" ref="W78:AC78" si="55">_xlfn.VAR.S(W3:W76)</f>
        <v>0.66976950354609843</v>
      </c>
      <c r="X78" s="10">
        <f t="shared" si="55"/>
        <v>0.34597594819611471</v>
      </c>
      <c r="Y78" s="10">
        <f t="shared" si="55"/>
        <v>1.5</v>
      </c>
      <c r="Z78" s="10">
        <f t="shared" si="55"/>
        <v>1.4733333333333334</v>
      </c>
      <c r="AA78" s="10">
        <f t="shared" si="55"/>
        <v>0.98575498575498532</v>
      </c>
      <c r="AB78" s="10">
        <f t="shared" si="55"/>
        <v>0.84397163120567387</v>
      </c>
      <c r="AC78" s="10">
        <f t="shared" si="55"/>
        <v>23.886524822695041</v>
      </c>
      <c r="AD78" s="12"/>
      <c r="AE78" s="10">
        <f>_xlfn.VAR.S(AE3:AE76)</f>
        <v>0.39716312056737596</v>
      </c>
      <c r="AF78" s="10">
        <f>_xlfn.VAR.S(AF3:AF76)</f>
        <v>1.0314716312056735</v>
      </c>
      <c r="AG78" s="10">
        <f>_xlfn.VAR.S(AG3:AG76)</f>
        <v>8.3333333333333287E-2</v>
      </c>
      <c r="AH78" s="10">
        <f>_xlfn.VAR.S(AH3:AH76)</f>
        <v>1.7938829787234043</v>
      </c>
      <c r="AI78" s="12"/>
      <c r="AJ78" s="10">
        <f>_xlfn.VAR.S(AJ3:AJ76)</f>
        <v>0.7832446808510638</v>
      </c>
      <c r="AK78" s="10">
        <f>_xlfn.VAR.S(AK3:AK76)</f>
        <v>1.354609929078014</v>
      </c>
      <c r="AL78" s="10">
        <f>_xlfn.VAR.S(AL3:AL76)</f>
        <v>8.3333333333333287E-2</v>
      </c>
      <c r="AM78" s="10">
        <f>_xlfn.VAR.S(AM3:AM76)</f>
        <v>0.66976950354609965</v>
      </c>
      <c r="AN78" s="10">
        <f>_xlfn.VAR.S(AN3:AN76)</f>
        <v>7.3120567375886489</v>
      </c>
      <c r="AO78" s="12"/>
    </row>
    <row r="79" spans="1:58" ht="14.5" x14ac:dyDescent="0.35">
      <c r="D79" s="9" t="s">
        <v>40</v>
      </c>
      <c r="E79" s="10">
        <f>_xlfn.STDEV.S(E3:E76)</f>
        <v>1.1361250555480111</v>
      </c>
      <c r="F79" s="10">
        <f t="shared" ref="F79:J79" si="56">_xlfn.STDEV.S(F3:F76)</f>
        <v>1.1012565357112796</v>
      </c>
      <c r="G79" s="10">
        <f t="shared" si="56"/>
        <v>0.82486835399258718</v>
      </c>
      <c r="H79" s="10">
        <f t="shared" si="56"/>
        <v>0.84399211787519757</v>
      </c>
      <c r="I79" s="10">
        <f t="shared" si="56"/>
        <v>0.88099516586046189</v>
      </c>
      <c r="J79" s="10">
        <f t="shared" si="56"/>
        <v>3.3595819353219878</v>
      </c>
      <c r="K79" s="10">
        <f>_xlfn.STDEV.S(K3:K76)</f>
        <v>0.67191638706439927</v>
      </c>
      <c r="L79" s="10">
        <f t="shared" ref="L79:P79" si="57">_xlfn.STDEV.S(L3:L76)</f>
        <v>0.87112872081395043</v>
      </c>
      <c r="M79" s="10">
        <f t="shared" si="57"/>
        <v>0.63546208127439663</v>
      </c>
      <c r="N79" s="10">
        <f t="shared" si="57"/>
        <v>0.60104813887760156</v>
      </c>
      <c r="O79" s="10">
        <f t="shared" si="57"/>
        <v>0.74257554478740495</v>
      </c>
      <c r="P79" s="10">
        <f t="shared" si="57"/>
        <v>2.2372570591990923</v>
      </c>
      <c r="Q79" s="10">
        <f>_xlfn.STDEV.S(Q3:Q76)</f>
        <v>0.55931426479977309</v>
      </c>
      <c r="R79" s="10">
        <f t="shared" ref="R79:T79" si="58">_xlfn.STDEV.S(R3:R76)</f>
        <v>0.99800332579499573</v>
      </c>
      <c r="S79" s="10">
        <f t="shared" si="58"/>
        <v>1.021054940485262</v>
      </c>
      <c r="T79" s="10">
        <f t="shared" si="58"/>
        <v>1.0086065804081159</v>
      </c>
      <c r="U79" s="10">
        <f>_xlfn.STDEV.S(U3:U76)</f>
        <v>2.7415246573409675</v>
      </c>
      <c r="V79" s="10">
        <f>_xlfn.STDEV.S(V3:V76)</f>
        <v>0.91384155244698662</v>
      </c>
      <c r="W79" s="10">
        <f t="shared" ref="W79:AC79" si="59">_xlfn.STDEV.S(W3:W76)</f>
        <v>0.81839446695716267</v>
      </c>
      <c r="X79" s="10">
        <f t="shared" si="59"/>
        <v>0.58819720179214952</v>
      </c>
      <c r="Y79" s="10">
        <f t="shared" si="59"/>
        <v>1.2247448713915889</v>
      </c>
      <c r="Z79" s="10">
        <f t="shared" si="59"/>
        <v>1.2138094304022082</v>
      </c>
      <c r="AA79" s="10">
        <f t="shared" si="59"/>
        <v>0.99285194553618383</v>
      </c>
      <c r="AB79" s="10">
        <f t="shared" si="59"/>
        <v>0.91867928637020757</v>
      </c>
      <c r="AC79" s="10">
        <f t="shared" si="59"/>
        <v>4.8873842515905217</v>
      </c>
      <c r="AD79" s="10">
        <f>_xlfn.STDEV.S(AD3:AD76)</f>
        <v>0.63242282441544206</v>
      </c>
      <c r="AE79" s="10">
        <f t="shared" ref="AE79:AH79" si="60">_xlfn.STDEV.S(AE3:AE76)</f>
        <v>0.63020879124888118</v>
      </c>
      <c r="AF79" s="10">
        <f t="shared" si="60"/>
        <v>1.0156139183792596</v>
      </c>
      <c r="AG79" s="10">
        <f t="shared" si="60"/>
        <v>0.28867513459481281</v>
      </c>
      <c r="AH79" s="10">
        <f t="shared" si="60"/>
        <v>1.3393591671853389</v>
      </c>
      <c r="AI79" s="10">
        <f>_xlfn.STDEV.S(AI3:AI76)</f>
        <v>0.44645305572844224</v>
      </c>
      <c r="AJ79" s="10">
        <f t="shared" ref="AJ79:AN79" si="61">_xlfn.STDEV.S(AJ3:AJ76)</f>
        <v>0.88501111905504548</v>
      </c>
      <c r="AK79" s="10">
        <f t="shared" si="61"/>
        <v>1.1638771108145456</v>
      </c>
      <c r="AL79" s="10">
        <f t="shared" si="61"/>
        <v>0.28867513459481281</v>
      </c>
      <c r="AM79" s="10">
        <f t="shared" si="61"/>
        <v>0.81839446695716345</v>
      </c>
      <c r="AN79" s="10">
        <f t="shared" si="61"/>
        <v>2.7040814961070696</v>
      </c>
      <c r="AO79" s="10">
        <f>_xlfn.STDEV.S(AO3:AO76)</f>
        <v>0.6760203740267674</v>
      </c>
    </row>
    <row r="80" spans="1:58" ht="14.5" hidden="1" x14ac:dyDescent="0.35">
      <c r="D80" s="9" t="s">
        <v>197</v>
      </c>
      <c r="K80" s="12">
        <f>(5/4)*(1-(SUM(E78:I78)/J78))</f>
        <v>0.73253347995130147</v>
      </c>
      <c r="Q80" s="10">
        <f>(4/3)*(1-(SUM(L78:O78)/P78))</f>
        <v>0.78049356476561593</v>
      </c>
      <c r="V80" s="10">
        <f>(3/2)*(1-(SUM(R78:T78)/U78))</f>
        <v>0.89012738853503182</v>
      </c>
      <c r="AD80" s="10">
        <f>(6/5)*(1-(SUM(W78:AB78)/AC78))</f>
        <v>0.90767759084782484</v>
      </c>
      <c r="AI80" s="10">
        <f>(3/2)*(1-(SUM(AE78:AG78)/AH78))</f>
        <v>0.23573017049666434</v>
      </c>
      <c r="AO80" s="10">
        <f>(4/3)*(1-(SUM(AJ78:AM78)/AN78))</f>
        <v>0.80617523440025818</v>
      </c>
    </row>
    <row r="81" spans="52:55" ht="14.5" hidden="1" x14ac:dyDescent="0.35">
      <c r="AZ81" t="s">
        <v>198</v>
      </c>
      <c r="BA81">
        <v>48</v>
      </c>
    </row>
    <row r="82" spans="52:55" ht="14.5" hidden="1" x14ac:dyDescent="0.35">
      <c r="AZ82" t="s">
        <v>199</v>
      </c>
      <c r="BA82" t="s">
        <v>200</v>
      </c>
      <c r="BB82" t="s">
        <v>201</v>
      </c>
      <c r="BC82" t="s">
        <v>202</v>
      </c>
    </row>
    <row r="83" spans="52:55" ht="14.5" hidden="1" x14ac:dyDescent="0.35">
      <c r="AZ83" t="s">
        <v>203</v>
      </c>
      <c r="BA83" s="10">
        <f>CORREL(AZ3:AZ76,BA3:BA76)</f>
        <v>0.36482120604621016</v>
      </c>
      <c r="BB83" s="10">
        <f>CORREL(AZ3:AZ76,BB3:BB76)</f>
        <v>0.76436250495178626</v>
      </c>
      <c r="BC83" s="10">
        <f>CORREL(BA3:BA76,BB3:BB76)</f>
        <v>0.16030116580626194</v>
      </c>
    </row>
    <row r="84" spans="52:55" ht="14.5" hidden="1" x14ac:dyDescent="0.35">
      <c r="AZ84" t="s">
        <v>204</v>
      </c>
      <c r="BA84">
        <f>(BA83 * SQRT($BA$81 - 2)) / SQRT(1 - (BA83^2))</f>
        <v>2.657499029029736</v>
      </c>
      <c r="BB84">
        <f>(BB83 * SQRT($BA$81 - 2)) / SQRT(1 - (BB83^2))</f>
        <v>8.0401135493752616</v>
      </c>
      <c r="BC84">
        <f>(BC83 * SQRT($BA$81 - 2)) / SQRT(1 - (BC83^2))</f>
        <v>1.1014593077760257</v>
      </c>
    </row>
    <row r="85" spans="52:55" ht="14.5" hidden="1" x14ac:dyDescent="0.35">
      <c r="AZ85" t="s">
        <v>205</v>
      </c>
      <c r="BA85" s="10">
        <f>_xlfn.T.DIST.2T(ABS(BA84), $BA$81 - 2)</f>
        <v>1.0788700615804213E-2</v>
      </c>
      <c r="BB85" s="18">
        <f>_xlfn.T.DIST.2T(ABS(BB84), $BA$81 - 2)</f>
        <v>2.5811753913724032E-10</v>
      </c>
      <c r="BC85" s="10">
        <f>_xlfn.T.DIST.2T(ABS(BC84), $BA$81 - 2)</f>
        <v>0.27642693605111968</v>
      </c>
    </row>
  </sheetData>
  <autoFilter ref="I1:I85" xr:uid="{00000000-0001-0000-0000-000000000000}">
    <filterColumn colId="0">
      <customFilters>
        <customFilter operator="notEqual" val=" "/>
      </customFilters>
    </filterColumn>
  </autoFilter>
  <sortState xmlns:xlrd2="http://schemas.microsoft.com/office/spreadsheetml/2017/richdata2" ref="A3:BC85">
    <sortCondition descending="1" ref="AX3:AX85"/>
  </sortState>
  <mergeCells count="8">
    <mergeCell ref="AP1:AR1"/>
    <mergeCell ref="AE1:AG1"/>
    <mergeCell ref="AJ1:AM1"/>
    <mergeCell ref="A1:D1"/>
    <mergeCell ref="E1:I1"/>
    <mergeCell ref="L1:O1"/>
    <mergeCell ref="R1:T1"/>
    <mergeCell ref="W1:A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DB216-AA25-4027-80E9-650FB24850FA}">
  <dimension ref="A1:E27"/>
  <sheetViews>
    <sheetView workbookViewId="0">
      <selection sqref="A1:C27"/>
    </sheetView>
  </sheetViews>
  <sheetFormatPr defaultRowHeight="14.5" x14ac:dyDescent="0.35"/>
  <cols>
    <col min="2" max="2" width="29" bestFit="1" customWidth="1"/>
    <col min="3" max="3" width="26" bestFit="1" customWidth="1"/>
  </cols>
  <sheetData>
    <row r="1" spans="1:5" x14ac:dyDescent="0.35">
      <c r="A1" s="9" t="s">
        <v>6</v>
      </c>
      <c r="B1" s="9" t="s">
        <v>253</v>
      </c>
      <c r="C1" s="9" t="s">
        <v>254</v>
      </c>
    </row>
    <row r="2" spans="1:5" x14ac:dyDescent="0.35">
      <c r="A2" t="s">
        <v>58</v>
      </c>
      <c r="B2" t="s">
        <v>68</v>
      </c>
      <c r="C2" t="s">
        <v>69</v>
      </c>
      <c r="E2" s="10"/>
    </row>
    <row r="3" spans="1:5" x14ac:dyDescent="0.35">
      <c r="A3" t="s">
        <v>58</v>
      </c>
      <c r="B3" t="s">
        <v>70</v>
      </c>
      <c r="C3" t="s">
        <v>71</v>
      </c>
      <c r="E3" s="10"/>
    </row>
    <row r="4" spans="1:5" x14ac:dyDescent="0.35">
      <c r="A4" t="s">
        <v>58</v>
      </c>
      <c r="B4" t="s">
        <v>72</v>
      </c>
      <c r="C4" t="s">
        <v>255</v>
      </c>
      <c r="E4" s="10"/>
    </row>
    <row r="5" spans="1:5" x14ac:dyDescent="0.35">
      <c r="A5" t="s">
        <v>52</v>
      </c>
      <c r="B5" t="s">
        <v>76</v>
      </c>
      <c r="C5" t="s">
        <v>77</v>
      </c>
      <c r="E5" s="10"/>
    </row>
    <row r="6" spans="1:5" x14ac:dyDescent="0.35">
      <c r="A6" t="s">
        <v>52</v>
      </c>
      <c r="B6" t="s">
        <v>82</v>
      </c>
      <c r="C6" t="s">
        <v>83</v>
      </c>
      <c r="E6" s="10"/>
    </row>
    <row r="7" spans="1:5" x14ac:dyDescent="0.35">
      <c r="A7" t="s">
        <v>52</v>
      </c>
      <c r="B7" t="s">
        <v>92</v>
      </c>
      <c r="C7" t="s">
        <v>93</v>
      </c>
      <c r="E7" s="10"/>
    </row>
    <row r="8" spans="1:5" x14ac:dyDescent="0.35">
      <c r="A8" t="s">
        <v>52</v>
      </c>
      <c r="B8" t="s">
        <v>96</v>
      </c>
      <c r="C8" t="s">
        <v>69</v>
      </c>
      <c r="E8" s="10"/>
    </row>
    <row r="9" spans="1:5" x14ac:dyDescent="0.35">
      <c r="A9" t="s">
        <v>52</v>
      </c>
      <c r="B9" t="s">
        <v>99</v>
      </c>
      <c r="C9" t="s">
        <v>69</v>
      </c>
      <c r="E9" s="10"/>
    </row>
    <row r="10" spans="1:5" x14ac:dyDescent="0.35">
      <c r="A10" t="s">
        <v>52</v>
      </c>
      <c r="B10" t="s">
        <v>100</v>
      </c>
      <c r="C10" t="s">
        <v>69</v>
      </c>
      <c r="E10" s="10"/>
    </row>
    <row r="11" spans="1:5" x14ac:dyDescent="0.35">
      <c r="A11" t="s">
        <v>48</v>
      </c>
      <c r="B11" t="s">
        <v>105</v>
      </c>
      <c r="C11" t="s">
        <v>106</v>
      </c>
      <c r="E11" s="10"/>
    </row>
    <row r="12" spans="1:5" x14ac:dyDescent="0.35">
      <c r="A12" t="s">
        <v>48</v>
      </c>
      <c r="B12" t="s">
        <v>107</v>
      </c>
      <c r="C12" t="s">
        <v>108</v>
      </c>
      <c r="E12" s="10"/>
    </row>
    <row r="13" spans="1:5" x14ac:dyDescent="0.35">
      <c r="A13" t="s">
        <v>48</v>
      </c>
      <c r="B13" t="s">
        <v>125</v>
      </c>
      <c r="C13" t="s">
        <v>126</v>
      </c>
      <c r="E13" s="10"/>
    </row>
    <row r="14" spans="1:5" x14ac:dyDescent="0.35">
      <c r="A14" t="s">
        <v>48</v>
      </c>
      <c r="B14" t="s">
        <v>129</v>
      </c>
      <c r="C14" t="s">
        <v>130</v>
      </c>
      <c r="E14" s="10"/>
    </row>
    <row r="15" spans="1:5" x14ac:dyDescent="0.35">
      <c r="A15" t="s">
        <v>48</v>
      </c>
      <c r="B15" t="s">
        <v>137</v>
      </c>
      <c r="C15" t="s">
        <v>138</v>
      </c>
      <c r="E15" s="10"/>
    </row>
    <row r="16" spans="1:5" x14ac:dyDescent="0.35">
      <c r="A16" t="s">
        <v>48</v>
      </c>
      <c r="B16" t="s">
        <v>141</v>
      </c>
      <c r="C16" t="s">
        <v>142</v>
      </c>
      <c r="E16" s="10"/>
    </row>
    <row r="17" spans="1:5" x14ac:dyDescent="0.35">
      <c r="A17" t="s">
        <v>48</v>
      </c>
      <c r="B17" t="s">
        <v>145</v>
      </c>
      <c r="C17" t="s">
        <v>142</v>
      </c>
      <c r="E17" s="10"/>
    </row>
    <row r="18" spans="1:5" x14ac:dyDescent="0.35">
      <c r="A18" t="s">
        <v>48</v>
      </c>
      <c r="B18" t="s">
        <v>146</v>
      </c>
      <c r="C18" t="s">
        <v>147</v>
      </c>
      <c r="E18" s="10"/>
    </row>
    <row r="19" spans="1:5" x14ac:dyDescent="0.35">
      <c r="A19" t="s">
        <v>48</v>
      </c>
      <c r="B19" t="s">
        <v>148</v>
      </c>
      <c r="C19" t="s">
        <v>149</v>
      </c>
      <c r="E19" s="10"/>
    </row>
    <row r="20" spans="1:5" x14ac:dyDescent="0.35">
      <c r="A20" t="s">
        <v>48</v>
      </c>
      <c r="B20" t="s">
        <v>152</v>
      </c>
      <c r="C20" t="s">
        <v>142</v>
      </c>
      <c r="E20" s="10"/>
    </row>
    <row r="21" spans="1:5" x14ac:dyDescent="0.35">
      <c r="A21" t="s">
        <v>48</v>
      </c>
      <c r="B21" t="s">
        <v>161</v>
      </c>
      <c r="C21" t="s">
        <v>256</v>
      </c>
      <c r="E21" s="10"/>
    </row>
    <row r="22" spans="1:5" x14ac:dyDescent="0.35">
      <c r="A22" t="s">
        <v>48</v>
      </c>
      <c r="B22" t="s">
        <v>165</v>
      </c>
      <c r="C22" t="s">
        <v>257</v>
      </c>
      <c r="E22" s="10"/>
    </row>
    <row r="23" spans="1:5" x14ac:dyDescent="0.35">
      <c r="A23" t="s">
        <v>48</v>
      </c>
      <c r="B23" t="s">
        <v>171</v>
      </c>
      <c r="C23" t="s">
        <v>172</v>
      </c>
      <c r="E23" s="10"/>
    </row>
    <row r="24" spans="1:5" x14ac:dyDescent="0.35">
      <c r="A24" t="s">
        <v>48</v>
      </c>
      <c r="B24" t="s">
        <v>173</v>
      </c>
      <c r="C24" t="s">
        <v>174</v>
      </c>
      <c r="E24" s="10"/>
    </row>
    <row r="25" spans="1:5" x14ac:dyDescent="0.35">
      <c r="A25" t="s">
        <v>48</v>
      </c>
      <c r="B25" t="s">
        <v>181</v>
      </c>
      <c r="C25" t="s">
        <v>182</v>
      </c>
      <c r="E25" s="10"/>
    </row>
    <row r="26" spans="1:5" x14ac:dyDescent="0.35">
      <c r="A26" t="s">
        <v>48</v>
      </c>
      <c r="B26" t="s">
        <v>185</v>
      </c>
      <c r="C26" t="s">
        <v>142</v>
      </c>
      <c r="E26" s="10"/>
    </row>
    <row r="27" spans="1:5" x14ac:dyDescent="0.35">
      <c r="A27" t="s">
        <v>48</v>
      </c>
      <c r="B27" t="s">
        <v>192</v>
      </c>
      <c r="C27" t="s">
        <v>142</v>
      </c>
      <c r="E27"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14D82-28AC-4110-9F7D-A4DEE98D399E}">
  <dimension ref="B7:AA10"/>
  <sheetViews>
    <sheetView workbookViewId="0">
      <selection activeCell="F12" sqref="F12:S33"/>
    </sheetView>
  </sheetViews>
  <sheetFormatPr defaultRowHeight="14.5" x14ac:dyDescent="0.35"/>
  <sheetData>
    <row r="7" spans="2:27" x14ac:dyDescent="0.35">
      <c r="C7" s="1" t="s">
        <v>10</v>
      </c>
      <c r="D7" s="2" t="s">
        <v>11</v>
      </c>
      <c r="E7" s="2" t="s">
        <v>12</v>
      </c>
      <c r="F7" s="2" t="s">
        <v>13</v>
      </c>
      <c r="G7" s="2" t="s">
        <v>14</v>
      </c>
      <c r="H7" s="2" t="s">
        <v>17</v>
      </c>
      <c r="I7" s="2" t="s">
        <v>18</v>
      </c>
      <c r="J7" s="2" t="s">
        <v>19</v>
      </c>
      <c r="K7" s="2" t="s">
        <v>20</v>
      </c>
      <c r="L7" s="2" t="s">
        <v>21</v>
      </c>
      <c r="M7" s="2" t="s">
        <v>22</v>
      </c>
      <c r="N7" s="2" t="s">
        <v>23</v>
      </c>
      <c r="O7" s="2" t="s">
        <v>24</v>
      </c>
      <c r="P7" s="2" t="s">
        <v>25</v>
      </c>
      <c r="Q7" s="2" t="s">
        <v>26</v>
      </c>
      <c r="R7" s="2" t="s">
        <v>27</v>
      </c>
      <c r="S7" s="2" t="s">
        <v>28</v>
      </c>
      <c r="T7" s="2" t="s">
        <v>29</v>
      </c>
      <c r="U7" s="2" t="s">
        <v>30</v>
      </c>
      <c r="V7" s="2" t="s">
        <v>31</v>
      </c>
      <c r="W7" s="2" t="s">
        <v>32</v>
      </c>
      <c r="X7" s="2" t="s">
        <v>33</v>
      </c>
      <c r="Y7" s="2" t="s">
        <v>34</v>
      </c>
      <c r="Z7" s="2" t="s">
        <v>35</v>
      </c>
      <c r="AA7" s="2" t="s">
        <v>36</v>
      </c>
    </row>
    <row r="8" spans="2:27" x14ac:dyDescent="0.35">
      <c r="B8" t="s">
        <v>250</v>
      </c>
      <c r="C8" s="10">
        <v>2.1666666666666665</v>
      </c>
      <c r="D8" s="10">
        <v>2.25</v>
      </c>
      <c r="E8" s="10">
        <v>2.5208333333333335</v>
      </c>
      <c r="F8" s="10">
        <v>2.6041666666666665</v>
      </c>
      <c r="G8" s="10">
        <v>4.229166666666667</v>
      </c>
      <c r="H8" s="10">
        <v>4.416666666666667</v>
      </c>
      <c r="I8" s="10">
        <v>4.354166666666667</v>
      </c>
      <c r="J8" s="10">
        <v>4.645833333333333</v>
      </c>
      <c r="K8" s="10">
        <v>4.458333333333333</v>
      </c>
      <c r="L8" s="10">
        <v>3.9375</v>
      </c>
      <c r="M8" s="10">
        <v>3.75</v>
      </c>
      <c r="N8" s="10">
        <v>3.4375</v>
      </c>
      <c r="O8" s="10">
        <v>4.270833333333333</v>
      </c>
      <c r="P8" s="10">
        <v>3.0425531914893615</v>
      </c>
      <c r="Q8" s="10">
        <v>2.6</v>
      </c>
      <c r="R8" s="10">
        <v>2.16</v>
      </c>
      <c r="S8" s="10">
        <v>2.7037037037037037</v>
      </c>
      <c r="T8" s="10">
        <v>1.4166666666666667</v>
      </c>
      <c r="U8" s="10">
        <v>1.1666666666666667</v>
      </c>
      <c r="V8" s="10">
        <v>2.1041666666666665</v>
      </c>
      <c r="W8" s="10">
        <v>1.0416666666666667</v>
      </c>
      <c r="X8" s="10">
        <v>2.0625</v>
      </c>
      <c r="Y8" s="10">
        <v>2.0833333333333335</v>
      </c>
      <c r="Z8" s="10">
        <v>1.0416666666666667</v>
      </c>
      <c r="AA8" s="10">
        <v>2.3958333333333335</v>
      </c>
    </row>
    <row r="9" spans="2:27" x14ac:dyDescent="0.35">
      <c r="B9" t="s">
        <v>251</v>
      </c>
      <c r="C9" s="10">
        <v>1.1361250555480111</v>
      </c>
      <c r="D9" s="10">
        <v>1.1012565357112796</v>
      </c>
      <c r="E9" s="10">
        <v>0.82486835399258718</v>
      </c>
      <c r="F9" s="10">
        <v>0.84399211787519757</v>
      </c>
      <c r="G9" s="10">
        <v>0.88099516586046189</v>
      </c>
      <c r="H9" s="10">
        <v>0.87112872081395043</v>
      </c>
      <c r="I9" s="10">
        <v>0.63546208127439663</v>
      </c>
      <c r="J9" s="10">
        <v>0.60104813887760156</v>
      </c>
      <c r="K9" s="10">
        <v>0.74257554478740495</v>
      </c>
      <c r="L9" s="10">
        <v>0.99800332579499573</v>
      </c>
      <c r="M9" s="10">
        <v>1.021054940485262</v>
      </c>
      <c r="N9" s="10">
        <v>1.0086065804081159</v>
      </c>
      <c r="O9" s="10">
        <v>0.81839446695716267</v>
      </c>
      <c r="P9" s="10">
        <v>0.58819720179214952</v>
      </c>
      <c r="Q9" s="10">
        <v>1.2247448713915889</v>
      </c>
      <c r="R9" s="10">
        <v>1.2138094304022082</v>
      </c>
      <c r="S9" s="10">
        <v>0.99285194553618383</v>
      </c>
      <c r="T9" s="10">
        <v>0.91867928637020757</v>
      </c>
      <c r="U9" s="10">
        <v>0.63020879124888118</v>
      </c>
      <c r="V9" s="10">
        <v>1.0156139183792596</v>
      </c>
      <c r="W9" s="10">
        <v>0.28867513459481281</v>
      </c>
      <c r="X9" s="10">
        <v>0.88501111905504548</v>
      </c>
      <c r="Y9" s="10">
        <v>1.1638771108145456</v>
      </c>
      <c r="Z9" s="10">
        <v>0.28867513459481281</v>
      </c>
      <c r="AA9" s="10">
        <v>0.81839446695716345</v>
      </c>
    </row>
    <row r="10" spans="2:27" x14ac:dyDescent="0.35">
      <c r="B10" t="s">
        <v>252</v>
      </c>
      <c r="C10" t="str">
        <f>TEXT(C8, "0,00") &amp; " (" &amp; TEXT(C9, "0,00") &amp; ")"</f>
        <v>2,17 (1,14)</v>
      </c>
      <c r="D10" t="str">
        <f t="shared" ref="D10:AA10" si="0">TEXT(D8, "0,00") &amp; " (" &amp; TEXT(D9, "0,00") &amp; ")"</f>
        <v>2,25 (1,10)</v>
      </c>
      <c r="E10" t="str">
        <f t="shared" si="0"/>
        <v>2,52 (0,82)</v>
      </c>
      <c r="F10" t="str">
        <f t="shared" si="0"/>
        <v>2,60 (0,84)</v>
      </c>
      <c r="G10" t="str">
        <f t="shared" si="0"/>
        <v>4,23 (0,88)</v>
      </c>
      <c r="H10" t="str">
        <f t="shared" si="0"/>
        <v>4,42 (0,87)</v>
      </c>
      <c r="I10" t="str">
        <f t="shared" si="0"/>
        <v>4,35 (0,64)</v>
      </c>
      <c r="J10" t="str">
        <f t="shared" si="0"/>
        <v>4,65 (0,60)</v>
      </c>
      <c r="K10" t="str">
        <f t="shared" si="0"/>
        <v>4,46 (0,74)</v>
      </c>
      <c r="L10" t="str">
        <f t="shared" si="0"/>
        <v>3,94 (1,00)</v>
      </c>
      <c r="M10" t="str">
        <f t="shared" si="0"/>
        <v>3,75 (1,02)</v>
      </c>
      <c r="N10" t="str">
        <f t="shared" si="0"/>
        <v>3,44 (1,01)</v>
      </c>
      <c r="O10" t="str">
        <f t="shared" si="0"/>
        <v>4,27 (0,82)</v>
      </c>
      <c r="P10" t="str">
        <f t="shared" si="0"/>
        <v>3,04 (0,59)</v>
      </c>
      <c r="Q10" t="str">
        <f t="shared" si="0"/>
        <v>2,60 (1,22)</v>
      </c>
      <c r="R10" t="str">
        <f t="shared" si="0"/>
        <v>2,16 (1,21)</v>
      </c>
      <c r="S10" t="str">
        <f t="shared" si="0"/>
        <v>2,70 (0,99)</v>
      </c>
      <c r="T10" t="str">
        <f t="shared" si="0"/>
        <v>1,42 (0,92)</v>
      </c>
      <c r="U10" t="str">
        <f t="shared" si="0"/>
        <v>1,17 (0,63)</v>
      </c>
      <c r="V10" t="str">
        <f t="shared" si="0"/>
        <v>2,10 (1,02)</v>
      </c>
      <c r="W10" t="str">
        <f t="shared" si="0"/>
        <v>1,04 (0,29)</v>
      </c>
      <c r="X10" t="str">
        <f t="shared" si="0"/>
        <v>2,06 (0,89)</v>
      </c>
      <c r="Y10" t="str">
        <f t="shared" si="0"/>
        <v>2,08 (1,16)</v>
      </c>
      <c r="Z10" t="str">
        <f t="shared" si="0"/>
        <v>1,04 (0,29)</v>
      </c>
      <c r="AA10" t="str">
        <f t="shared" si="0"/>
        <v>2,40 (0,82)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71717-55A3-4E0B-93CD-87367497B462}">
  <dimension ref="A1:S50"/>
  <sheetViews>
    <sheetView workbookViewId="0">
      <selection activeCell="P3" sqref="P3"/>
    </sheetView>
  </sheetViews>
  <sheetFormatPr defaultRowHeight="14.5" x14ac:dyDescent="0.35"/>
  <cols>
    <col min="15" max="15" width="29.453125" bestFit="1" customWidth="1"/>
    <col min="16" max="19" width="9.54296875" bestFit="1" customWidth="1"/>
  </cols>
  <sheetData>
    <row r="1" spans="1:19" ht="58" x14ac:dyDescent="0.35">
      <c r="A1" s="2" t="s">
        <v>9</v>
      </c>
      <c r="B1" s="2" t="s">
        <v>39</v>
      </c>
      <c r="C1" s="2" t="s">
        <v>40</v>
      </c>
      <c r="D1" s="14" t="s">
        <v>41</v>
      </c>
      <c r="E1" s="14" t="s">
        <v>40</v>
      </c>
      <c r="F1" s="14" t="s">
        <v>42</v>
      </c>
      <c r="G1" s="14" t="s">
        <v>40</v>
      </c>
      <c r="H1" s="14" t="s">
        <v>43</v>
      </c>
      <c r="I1" s="14" t="s">
        <v>40</v>
      </c>
      <c r="O1" s="2" t="s">
        <v>9</v>
      </c>
      <c r="P1" s="20" t="s">
        <v>246</v>
      </c>
      <c r="Q1" s="20" t="s">
        <v>247</v>
      </c>
      <c r="R1" s="20" t="s">
        <v>248</v>
      </c>
      <c r="S1" s="20" t="s">
        <v>249</v>
      </c>
    </row>
    <row r="2" spans="1:19" x14ac:dyDescent="0.35">
      <c r="A2" t="s">
        <v>49</v>
      </c>
      <c r="B2" s="10">
        <v>3.9047619047619047</v>
      </c>
      <c r="C2" s="10">
        <v>1.022619985129827</v>
      </c>
      <c r="D2" s="10">
        <v>2.6666666666666665</v>
      </c>
      <c r="E2" s="10">
        <v>2.0816659994661331</v>
      </c>
      <c r="F2" s="10">
        <v>3.75</v>
      </c>
      <c r="G2" s="10">
        <v>0.5</v>
      </c>
      <c r="H2" s="10">
        <v>3.4404761904761902</v>
      </c>
      <c r="I2" s="10">
        <v>1.1661903789690597</v>
      </c>
      <c r="O2" t="s">
        <v>49</v>
      </c>
      <c r="P2" t="str">
        <f t="shared" ref="P2:P33" si="0">TEXT(B2, "0,00") &amp; " (" &amp; TEXT(C2, "0,00") &amp; ")"</f>
        <v>3,90 (1,02)</v>
      </c>
      <c r="Q2" t="str">
        <f t="shared" ref="Q2:Q33" si="1">TEXT(D2, "0,00") &amp; " (" &amp; TEXT(E2, "0,00") &amp; ")"</f>
        <v>2,67 (2,08)</v>
      </c>
      <c r="R2" t="str">
        <f t="shared" ref="R2:R33" si="2">TEXT(F2, "0,00") &amp; " (" &amp; TEXT(G2, "0,00") &amp; ")"</f>
        <v>3,75 (0,50)</v>
      </c>
      <c r="S2" t="str">
        <f>TEXT(H2, "0,00") &amp; " (" &amp; TEXT(I2, "0,00") &amp; ")"</f>
        <v>3,44 (1,17)</v>
      </c>
    </row>
    <row r="3" spans="1:19" x14ac:dyDescent="0.35">
      <c r="A3" t="s">
        <v>54</v>
      </c>
      <c r="B3" s="10">
        <v>3.6666666666666665</v>
      </c>
      <c r="C3" s="10">
        <v>1.1274936053323583</v>
      </c>
      <c r="D3" s="10">
        <v>3.3333333333333335</v>
      </c>
      <c r="E3" s="10">
        <v>2.0816659994661326</v>
      </c>
      <c r="F3" s="10">
        <v>2</v>
      </c>
      <c r="G3" s="10">
        <v>0.81649658092772603</v>
      </c>
      <c r="H3" s="10">
        <v>3</v>
      </c>
      <c r="I3" s="10">
        <v>1.3228756555322954</v>
      </c>
      <c r="O3" t="s">
        <v>54</v>
      </c>
      <c r="P3" t="str">
        <f t="shared" si="0"/>
        <v>3,67 (1,13)</v>
      </c>
      <c r="Q3" t="str">
        <f t="shared" si="1"/>
        <v>3,33 (2,08)</v>
      </c>
      <c r="R3" t="str">
        <f t="shared" si="2"/>
        <v>2,00 (0,82)</v>
      </c>
      <c r="S3" t="str">
        <f t="shared" ref="S3:S50" si="3">TEXT(H3, "0,00") &amp; " (" &amp; TEXT(I3, "0,00") &amp; ")"</f>
        <v>3,00 (1,32)</v>
      </c>
    </row>
    <row r="4" spans="1:19" x14ac:dyDescent="0.35">
      <c r="A4" t="s">
        <v>56</v>
      </c>
      <c r="B4" s="10">
        <v>3.4</v>
      </c>
      <c r="C4" s="10">
        <v>1.4168108346481796</v>
      </c>
      <c r="D4" s="10">
        <v>2.3333333333333335</v>
      </c>
      <c r="E4" s="10">
        <v>2.3094010767585034</v>
      </c>
      <c r="F4" s="10">
        <v>2.25</v>
      </c>
      <c r="G4" s="10">
        <v>0.9574271077563381</v>
      </c>
      <c r="H4" s="10">
        <v>2.661111111111111</v>
      </c>
      <c r="I4" s="10">
        <v>1.5316704909195136</v>
      </c>
      <c r="O4" t="s">
        <v>56</v>
      </c>
      <c r="P4" t="str">
        <f t="shared" si="0"/>
        <v>3,40 (1,42)</v>
      </c>
      <c r="Q4" t="str">
        <f t="shared" si="1"/>
        <v>2,33 (2,31)</v>
      </c>
      <c r="R4" t="str">
        <f t="shared" si="2"/>
        <v>2,25 (0,96)</v>
      </c>
      <c r="S4" t="str">
        <f t="shared" si="3"/>
        <v>2,66 (1,53)</v>
      </c>
    </row>
    <row r="5" spans="1:19" x14ac:dyDescent="0.35">
      <c r="A5" t="s">
        <v>59</v>
      </c>
      <c r="B5" s="10">
        <v>3.3809523809523809</v>
      </c>
      <c r="C5" s="10">
        <v>1.3197840980097757</v>
      </c>
      <c r="D5" s="10">
        <v>1.3333333333333333</v>
      </c>
      <c r="E5" s="10">
        <v>0.57735026918962584</v>
      </c>
      <c r="F5" s="10">
        <v>3</v>
      </c>
      <c r="G5" s="10">
        <v>1.6329931618554521</v>
      </c>
      <c r="H5" s="10">
        <v>2.5714285714285716</v>
      </c>
      <c r="I5" s="10">
        <v>1.4922019523732928</v>
      </c>
      <c r="O5" t="s">
        <v>59</v>
      </c>
      <c r="P5" t="str">
        <f t="shared" si="0"/>
        <v>3,38 (1,32)</v>
      </c>
      <c r="Q5" t="str">
        <f t="shared" si="1"/>
        <v>1,33 (0,58)</v>
      </c>
      <c r="R5" t="str">
        <f t="shared" si="2"/>
        <v>3,00 (1,63)</v>
      </c>
      <c r="S5" t="str">
        <f t="shared" si="3"/>
        <v>2,57 (1,49)</v>
      </c>
    </row>
    <row r="6" spans="1:19" x14ac:dyDescent="0.35">
      <c r="A6" t="s">
        <v>62</v>
      </c>
      <c r="B6" s="10">
        <v>3.5238095238095237</v>
      </c>
      <c r="C6" s="10">
        <v>0.6467616667635534</v>
      </c>
      <c r="D6" s="10">
        <v>2</v>
      </c>
      <c r="E6" s="10">
        <v>1.7320508075688772</v>
      </c>
      <c r="F6" s="10">
        <v>2</v>
      </c>
      <c r="G6" s="10">
        <v>1.1547005383792515</v>
      </c>
      <c r="H6" s="10">
        <v>2.5079365079365079</v>
      </c>
      <c r="I6" s="10">
        <v>1.1733143937865365</v>
      </c>
      <c r="O6" t="s">
        <v>62</v>
      </c>
      <c r="P6" t="str">
        <f t="shared" si="0"/>
        <v>3,52 (0,65)</v>
      </c>
      <c r="Q6" t="str">
        <f t="shared" si="1"/>
        <v>2,00 (1,73)</v>
      </c>
      <c r="R6" t="str">
        <f t="shared" si="2"/>
        <v>2,00 (1,15)</v>
      </c>
      <c r="S6" t="str">
        <f t="shared" si="3"/>
        <v>2,51 (1,17)</v>
      </c>
    </row>
    <row r="7" spans="1:19" x14ac:dyDescent="0.35">
      <c r="A7" t="s">
        <v>64</v>
      </c>
      <c r="B7" s="10">
        <v>3.736842105263158</v>
      </c>
      <c r="C7" s="10">
        <v>0.68313005106397318</v>
      </c>
      <c r="D7" s="10">
        <v>1</v>
      </c>
      <c r="E7" s="10">
        <v>0</v>
      </c>
      <c r="F7" s="10">
        <v>2.75</v>
      </c>
      <c r="G7" s="10">
        <v>1.2583057392117916</v>
      </c>
      <c r="H7" s="10">
        <v>2.4956140350877192</v>
      </c>
      <c r="I7" s="10">
        <v>1.3759653456432208</v>
      </c>
      <c r="O7" t="s">
        <v>64</v>
      </c>
      <c r="P7" t="str">
        <f t="shared" si="0"/>
        <v>3,74 (0,68)</v>
      </c>
      <c r="Q7" t="str">
        <f t="shared" si="1"/>
        <v>1,00 (0,00)</v>
      </c>
      <c r="R7" t="str">
        <f t="shared" si="2"/>
        <v>2,75 (1,26)</v>
      </c>
      <c r="S7" t="str">
        <f t="shared" si="3"/>
        <v>2,50 (1,38)</v>
      </c>
    </row>
    <row r="8" spans="1:19" x14ac:dyDescent="0.35">
      <c r="A8" t="s">
        <v>66</v>
      </c>
      <c r="B8" s="10">
        <v>3.15</v>
      </c>
      <c r="C8" s="10">
        <v>1.2805100086890935</v>
      </c>
      <c r="D8" s="10">
        <v>1.3333333333333333</v>
      </c>
      <c r="E8" s="10">
        <v>0.57735026918962584</v>
      </c>
      <c r="F8" s="10">
        <v>3</v>
      </c>
      <c r="G8" s="10">
        <v>1.6329931618554521</v>
      </c>
      <c r="H8" s="10">
        <v>2.4944444444444445</v>
      </c>
      <c r="I8" s="10">
        <v>1.4237885773679595</v>
      </c>
      <c r="O8" t="s">
        <v>66</v>
      </c>
      <c r="P8" t="str">
        <f t="shared" si="0"/>
        <v>3,15 (1,28)</v>
      </c>
      <c r="Q8" t="str">
        <f t="shared" si="1"/>
        <v>1,33 (0,58)</v>
      </c>
      <c r="R8" t="str">
        <f t="shared" si="2"/>
        <v>3,00 (1,63)</v>
      </c>
      <c r="S8" t="str">
        <f t="shared" si="3"/>
        <v>2,49 (1,42)</v>
      </c>
    </row>
    <row r="9" spans="1:19" x14ac:dyDescent="0.35">
      <c r="A9" t="s">
        <v>74</v>
      </c>
      <c r="B9" s="10">
        <v>3.3809523809523809</v>
      </c>
      <c r="C9" s="10">
        <v>0.87820375202190859</v>
      </c>
      <c r="D9" s="10">
        <v>1</v>
      </c>
      <c r="E9" s="10">
        <v>0</v>
      </c>
      <c r="F9" s="10">
        <v>3</v>
      </c>
      <c r="G9" s="10">
        <v>1.4142135623730951</v>
      </c>
      <c r="H9" s="10">
        <v>2.4603174603174605</v>
      </c>
      <c r="I9" s="10">
        <v>1.2819256348686274</v>
      </c>
      <c r="O9" t="s">
        <v>74</v>
      </c>
      <c r="P9" t="str">
        <f t="shared" si="0"/>
        <v>3,38 (0,88)</v>
      </c>
      <c r="Q9" t="str">
        <f t="shared" si="1"/>
        <v>1,00 (0,00)</v>
      </c>
      <c r="R9" t="str">
        <f t="shared" si="2"/>
        <v>3,00 (1,41)</v>
      </c>
      <c r="S9" t="str">
        <f t="shared" si="3"/>
        <v>2,46 (1,28)</v>
      </c>
    </row>
    <row r="10" spans="1:19" x14ac:dyDescent="0.35">
      <c r="A10" t="s">
        <v>78</v>
      </c>
      <c r="B10" s="10">
        <v>3.3888888888888888</v>
      </c>
      <c r="C10" s="10">
        <v>1.3732131246511905</v>
      </c>
      <c r="D10" s="10">
        <v>1.3333333333333333</v>
      </c>
      <c r="E10" s="10">
        <v>0.57735026918962584</v>
      </c>
      <c r="F10" s="10">
        <v>2.5</v>
      </c>
      <c r="G10" s="10">
        <v>1</v>
      </c>
      <c r="H10" s="10">
        <v>2.4074074074074074</v>
      </c>
      <c r="I10" s="10">
        <v>1.5097088392205895</v>
      </c>
      <c r="O10" t="s">
        <v>78</v>
      </c>
      <c r="P10" t="str">
        <f t="shared" si="0"/>
        <v>3,39 (1,37)</v>
      </c>
      <c r="Q10" t="str">
        <f t="shared" si="1"/>
        <v>1,33 (0,58)</v>
      </c>
      <c r="R10" t="str">
        <f t="shared" si="2"/>
        <v>2,50 (1,00)</v>
      </c>
      <c r="S10" t="str">
        <f t="shared" si="3"/>
        <v>2,41 (1,51)</v>
      </c>
    </row>
    <row r="11" spans="1:19" x14ac:dyDescent="0.35">
      <c r="A11" t="s">
        <v>80</v>
      </c>
      <c r="B11" s="10">
        <v>3.2105263157894739</v>
      </c>
      <c r="C11" s="10">
        <v>1.672074559741082</v>
      </c>
      <c r="D11" s="10">
        <v>2</v>
      </c>
      <c r="E11" s="10">
        <v>1</v>
      </c>
      <c r="F11" s="10">
        <v>2</v>
      </c>
      <c r="G11" s="10">
        <v>0.81649658092772603</v>
      </c>
      <c r="H11" s="10">
        <v>2.4035087719298249</v>
      </c>
      <c r="I11" s="10">
        <v>1.5954480704349312</v>
      </c>
      <c r="O11" t="s">
        <v>80</v>
      </c>
      <c r="P11" t="str">
        <f t="shared" si="0"/>
        <v>3,21 (1,67)</v>
      </c>
      <c r="Q11" t="str">
        <f t="shared" si="1"/>
        <v>2,00 (1,00)</v>
      </c>
      <c r="R11" t="str">
        <f t="shared" si="2"/>
        <v>2,00 (0,82)</v>
      </c>
      <c r="S11" t="str">
        <f t="shared" si="3"/>
        <v>2,40 (1,60)</v>
      </c>
    </row>
    <row r="12" spans="1:19" x14ac:dyDescent="0.35">
      <c r="A12" t="s">
        <v>84</v>
      </c>
      <c r="B12" s="10">
        <v>3.263157894736842</v>
      </c>
      <c r="C12" s="10">
        <v>1.0307764064044151</v>
      </c>
      <c r="D12" s="10">
        <v>1.6666666666666667</v>
      </c>
      <c r="E12" s="10">
        <v>1.1547005383792515</v>
      </c>
      <c r="F12" s="10">
        <v>2.25</v>
      </c>
      <c r="G12" s="10">
        <v>0.9574271077563381</v>
      </c>
      <c r="H12" s="10">
        <v>2.3932748538011697</v>
      </c>
      <c r="I12" s="10">
        <v>1.2399795994751788</v>
      </c>
      <c r="O12" t="s">
        <v>84</v>
      </c>
      <c r="P12" t="str">
        <f t="shared" si="0"/>
        <v>3,26 (1,03)</v>
      </c>
      <c r="Q12" t="str">
        <f t="shared" si="1"/>
        <v>1,67 (1,15)</v>
      </c>
      <c r="R12" t="str">
        <f t="shared" si="2"/>
        <v>2,25 (0,96)</v>
      </c>
      <c r="S12" t="str">
        <f t="shared" si="3"/>
        <v>2,39 (1,24)</v>
      </c>
    </row>
    <row r="13" spans="1:19" x14ac:dyDescent="0.35">
      <c r="A13" t="s">
        <v>86</v>
      </c>
      <c r="B13" s="10">
        <v>3.4090909090909092</v>
      </c>
      <c r="C13" s="10">
        <v>1.3870146083619754</v>
      </c>
      <c r="D13" s="10">
        <v>1</v>
      </c>
      <c r="E13" s="10">
        <v>0</v>
      </c>
      <c r="F13" s="10">
        <v>2.75</v>
      </c>
      <c r="G13" s="10">
        <v>1.2583057392117916</v>
      </c>
      <c r="H13" s="10">
        <v>2.3863636363636362</v>
      </c>
      <c r="I13" s="10">
        <v>1.6521008532886934</v>
      </c>
      <c r="O13" t="s">
        <v>86</v>
      </c>
      <c r="P13" t="str">
        <f t="shared" si="0"/>
        <v>3,41 (1,39)</v>
      </c>
      <c r="Q13" t="str">
        <f t="shared" si="1"/>
        <v>1,00 (0,00)</v>
      </c>
      <c r="R13" t="str">
        <f t="shared" si="2"/>
        <v>2,75 (1,26)</v>
      </c>
      <c r="S13" t="str">
        <f t="shared" si="3"/>
        <v>2,39 (1,65)</v>
      </c>
    </row>
    <row r="14" spans="1:19" x14ac:dyDescent="0.35">
      <c r="A14" t="s">
        <v>88</v>
      </c>
      <c r="B14" s="10">
        <v>3.24</v>
      </c>
      <c r="C14" s="10">
        <v>1.274434386908933</v>
      </c>
      <c r="D14" s="10">
        <v>1.6666666666666667</v>
      </c>
      <c r="E14" s="10">
        <v>1.1547005383792515</v>
      </c>
      <c r="F14" s="10">
        <v>2.25</v>
      </c>
      <c r="G14" s="10">
        <v>0.9574271077563381</v>
      </c>
      <c r="H14" s="10">
        <v>2.3855555555555559</v>
      </c>
      <c r="I14" s="10">
        <v>1.4224392195567912</v>
      </c>
      <c r="O14" t="s">
        <v>88</v>
      </c>
      <c r="P14" t="str">
        <f t="shared" si="0"/>
        <v>3,24 (1,27)</v>
      </c>
      <c r="Q14" t="str">
        <f t="shared" si="1"/>
        <v>1,67 (1,15)</v>
      </c>
      <c r="R14" t="str">
        <f t="shared" si="2"/>
        <v>2,25 (0,96)</v>
      </c>
      <c r="S14" t="str">
        <f t="shared" si="3"/>
        <v>2,39 (1,42)</v>
      </c>
    </row>
    <row r="15" spans="1:19" x14ac:dyDescent="0.35">
      <c r="A15" t="s">
        <v>90</v>
      </c>
      <c r="B15" s="10">
        <v>3.2608695652173911</v>
      </c>
      <c r="C15" s="10">
        <v>1.2763881332363862</v>
      </c>
      <c r="D15" s="10">
        <v>1.3333333333333333</v>
      </c>
      <c r="E15" s="10">
        <v>0.57735026918962584</v>
      </c>
      <c r="F15" s="10">
        <v>2.5</v>
      </c>
      <c r="G15" s="10">
        <v>1</v>
      </c>
      <c r="H15" s="10">
        <v>2.3647342995169081</v>
      </c>
      <c r="I15" s="10">
        <v>1.4528151763933681</v>
      </c>
      <c r="O15" t="s">
        <v>90</v>
      </c>
      <c r="P15" t="str">
        <f t="shared" si="0"/>
        <v>3,26 (1,28)</v>
      </c>
      <c r="Q15" t="str">
        <f t="shared" si="1"/>
        <v>1,33 (0,58)</v>
      </c>
      <c r="R15" t="str">
        <f t="shared" si="2"/>
        <v>2,50 (1,00)</v>
      </c>
      <c r="S15" t="str">
        <f t="shared" si="3"/>
        <v>2,36 (1,45)</v>
      </c>
    </row>
    <row r="16" spans="1:19" x14ac:dyDescent="0.35">
      <c r="A16" t="s">
        <v>94</v>
      </c>
      <c r="B16" s="10">
        <v>3.1818181818181817</v>
      </c>
      <c r="C16" s="10">
        <v>1.2798809468443688</v>
      </c>
      <c r="D16" s="10">
        <v>1.3333333333333333</v>
      </c>
      <c r="E16" s="10">
        <v>0.57735026918962584</v>
      </c>
      <c r="F16" s="10">
        <v>2.5</v>
      </c>
      <c r="G16" s="10">
        <v>1</v>
      </c>
      <c r="H16" s="10">
        <v>2.3383838383838382</v>
      </c>
      <c r="I16" s="10">
        <v>1.435481125130547</v>
      </c>
      <c r="O16" t="s">
        <v>94</v>
      </c>
      <c r="P16" t="str">
        <f t="shared" si="0"/>
        <v>3,18 (1,28)</v>
      </c>
      <c r="Q16" t="str">
        <f t="shared" si="1"/>
        <v>1,33 (0,58)</v>
      </c>
      <c r="R16" t="str">
        <f t="shared" si="2"/>
        <v>2,50 (1,00)</v>
      </c>
      <c r="S16" t="str">
        <f t="shared" si="3"/>
        <v>2,34 (1,44)</v>
      </c>
    </row>
    <row r="17" spans="1:19" x14ac:dyDescent="0.35">
      <c r="A17" t="s">
        <v>97</v>
      </c>
      <c r="B17" s="10">
        <v>3.3157894736842106</v>
      </c>
      <c r="C17" s="10">
        <v>1.0878112581387147</v>
      </c>
      <c r="D17" s="10">
        <v>1.6666666666666667</v>
      </c>
      <c r="E17" s="10">
        <v>1.1547005383792515</v>
      </c>
      <c r="F17" s="10">
        <v>2</v>
      </c>
      <c r="G17" s="10">
        <v>0.81649658092772603</v>
      </c>
      <c r="H17" s="10">
        <v>2.327485380116959</v>
      </c>
      <c r="I17" s="10">
        <v>1.3112465782349279</v>
      </c>
      <c r="O17" t="s">
        <v>97</v>
      </c>
      <c r="P17" t="str">
        <f t="shared" si="0"/>
        <v>3,32 (1,09)</v>
      </c>
      <c r="Q17" t="str">
        <f t="shared" si="1"/>
        <v>1,67 (1,15)</v>
      </c>
      <c r="R17" t="str">
        <f t="shared" si="2"/>
        <v>2,00 (0,82)</v>
      </c>
      <c r="S17" t="str">
        <f t="shared" si="3"/>
        <v>2,33 (1,31)</v>
      </c>
    </row>
    <row r="18" spans="1:19" x14ac:dyDescent="0.35">
      <c r="A18" t="s">
        <v>101</v>
      </c>
      <c r="B18" s="10">
        <v>3.1363636363636362</v>
      </c>
      <c r="C18" s="10">
        <v>1.2909944487358058</v>
      </c>
      <c r="D18" s="10">
        <v>1.3333333333333333</v>
      </c>
      <c r="E18" s="10">
        <v>0.57735026918962584</v>
      </c>
      <c r="F18" s="10">
        <v>2.5</v>
      </c>
      <c r="G18" s="10">
        <v>1</v>
      </c>
      <c r="H18" s="10">
        <v>2.3232323232323231</v>
      </c>
      <c r="I18" s="10">
        <v>1.4241272864946195</v>
      </c>
      <c r="O18" t="s">
        <v>101</v>
      </c>
      <c r="P18" t="str">
        <f t="shared" si="0"/>
        <v>3,14 (1,29)</v>
      </c>
      <c r="Q18" t="str">
        <f t="shared" si="1"/>
        <v>1,33 (0,58)</v>
      </c>
      <c r="R18" t="str">
        <f t="shared" si="2"/>
        <v>2,50 (1,00)</v>
      </c>
      <c r="S18" t="str">
        <f t="shared" si="3"/>
        <v>2,32 (1,42)</v>
      </c>
    </row>
    <row r="19" spans="1:19" x14ac:dyDescent="0.35">
      <c r="A19" t="s">
        <v>103</v>
      </c>
      <c r="B19" s="10">
        <v>3.3809523809523809</v>
      </c>
      <c r="C19" s="10">
        <v>1.1274936053323583</v>
      </c>
      <c r="D19" s="10">
        <v>1.3333333333333333</v>
      </c>
      <c r="E19" s="10">
        <v>0.57735026918962584</v>
      </c>
      <c r="F19" s="10">
        <v>2.25</v>
      </c>
      <c r="G19" s="10">
        <v>0.9574271077563381</v>
      </c>
      <c r="H19" s="10">
        <v>2.3214285714285716</v>
      </c>
      <c r="I19" s="10">
        <v>1.35400640077266</v>
      </c>
      <c r="O19" t="s">
        <v>103</v>
      </c>
      <c r="P19" t="str">
        <f t="shared" si="0"/>
        <v>3,38 (1,13)</v>
      </c>
      <c r="Q19" t="str">
        <f t="shared" si="1"/>
        <v>1,33 (0,58)</v>
      </c>
      <c r="R19" t="str">
        <f t="shared" si="2"/>
        <v>2,25 (0,96)</v>
      </c>
      <c r="S19" t="str">
        <f t="shared" si="3"/>
        <v>2,32 (1,35)</v>
      </c>
    </row>
    <row r="20" spans="1:19" x14ac:dyDescent="0.35">
      <c r="A20" t="s">
        <v>109</v>
      </c>
      <c r="B20" s="10">
        <v>3.4736842105263159</v>
      </c>
      <c r="C20" s="10">
        <v>0.98107084351742924</v>
      </c>
      <c r="D20" s="10">
        <v>1.6666666666666667</v>
      </c>
      <c r="E20" s="10">
        <v>1.1547005383792515</v>
      </c>
      <c r="F20" s="10">
        <v>1.75</v>
      </c>
      <c r="G20" s="10">
        <v>0.9574271077563381</v>
      </c>
      <c r="H20" s="10">
        <v>2.2967836257309941</v>
      </c>
      <c r="I20" s="10">
        <v>1.3702081432144628</v>
      </c>
      <c r="O20" t="s">
        <v>109</v>
      </c>
      <c r="P20" t="str">
        <f t="shared" si="0"/>
        <v>3,47 (0,98)</v>
      </c>
      <c r="Q20" t="str">
        <f t="shared" si="1"/>
        <v>1,67 (1,15)</v>
      </c>
      <c r="R20" t="str">
        <f t="shared" si="2"/>
        <v>1,75 (0,96)</v>
      </c>
      <c r="S20" t="str">
        <f t="shared" si="3"/>
        <v>2,30 (1,37)</v>
      </c>
    </row>
    <row r="21" spans="1:19" x14ac:dyDescent="0.35">
      <c r="A21" t="s">
        <v>111</v>
      </c>
      <c r="B21" s="10">
        <v>3.2857142857142856</v>
      </c>
      <c r="C21" s="10">
        <v>1.2432826042324117</v>
      </c>
      <c r="D21" s="10">
        <v>1.3333333333333333</v>
      </c>
      <c r="E21" s="10">
        <v>0.57735026918962584</v>
      </c>
      <c r="F21" s="10">
        <v>2.25</v>
      </c>
      <c r="G21" s="10">
        <v>0.9574271077563381</v>
      </c>
      <c r="H21" s="10">
        <v>2.2896825396825395</v>
      </c>
      <c r="I21" s="10">
        <v>1.394034911088432</v>
      </c>
      <c r="O21" t="s">
        <v>111</v>
      </c>
      <c r="P21" t="str">
        <f t="shared" si="0"/>
        <v>3,29 (1,24)</v>
      </c>
      <c r="Q21" t="str">
        <f t="shared" si="1"/>
        <v>1,33 (0,58)</v>
      </c>
      <c r="R21" t="str">
        <f t="shared" si="2"/>
        <v>2,25 (0,96)</v>
      </c>
      <c r="S21" t="str">
        <f t="shared" si="3"/>
        <v>2,29 (1,39)</v>
      </c>
    </row>
    <row r="22" spans="1:19" x14ac:dyDescent="0.35">
      <c r="A22" t="s">
        <v>113</v>
      </c>
      <c r="B22" s="10">
        <v>2.96</v>
      </c>
      <c r="C22" s="10">
        <v>1.3719886811400708</v>
      </c>
      <c r="D22" s="10">
        <v>1.3333333333333333</v>
      </c>
      <c r="E22" s="10">
        <v>0.57735026918962584</v>
      </c>
      <c r="F22" s="10">
        <v>2.5</v>
      </c>
      <c r="G22" s="10">
        <v>1</v>
      </c>
      <c r="H22" s="10">
        <v>2.2644444444444445</v>
      </c>
      <c r="I22" s="10">
        <v>1.3988090172238192</v>
      </c>
      <c r="O22" t="s">
        <v>113</v>
      </c>
      <c r="P22" t="str">
        <f t="shared" si="0"/>
        <v>2,96 (1,37)</v>
      </c>
      <c r="Q22" t="str">
        <f t="shared" si="1"/>
        <v>1,33 (0,58)</v>
      </c>
      <c r="R22" t="str">
        <f t="shared" si="2"/>
        <v>2,50 (1,00)</v>
      </c>
      <c r="S22" t="str">
        <f t="shared" si="3"/>
        <v>2,26 (1,40)</v>
      </c>
    </row>
    <row r="23" spans="1:19" x14ac:dyDescent="0.35">
      <c r="A23" t="s">
        <v>115</v>
      </c>
      <c r="B23" s="10">
        <v>3.0952380952380953</v>
      </c>
      <c r="C23" s="10">
        <v>1.4199788270537859</v>
      </c>
      <c r="D23" s="10">
        <v>1.3333333333333333</v>
      </c>
      <c r="E23" s="10">
        <v>0.57735026918962584</v>
      </c>
      <c r="F23" s="10">
        <v>2.25</v>
      </c>
      <c r="G23" s="10">
        <v>0.9574271077563381</v>
      </c>
      <c r="H23" s="10">
        <v>2.2261904761904763</v>
      </c>
      <c r="I23" s="10">
        <v>1.457166199626293</v>
      </c>
      <c r="O23" t="s">
        <v>115</v>
      </c>
      <c r="P23" t="str">
        <f t="shared" si="0"/>
        <v>3,10 (1,42)</v>
      </c>
      <c r="Q23" t="str">
        <f t="shared" si="1"/>
        <v>1,33 (0,58)</v>
      </c>
      <c r="R23" t="str">
        <f t="shared" si="2"/>
        <v>2,25 (0,96)</v>
      </c>
      <c r="S23" t="str">
        <f t="shared" si="3"/>
        <v>2,23 (1,46)</v>
      </c>
    </row>
    <row r="24" spans="1:19" x14ac:dyDescent="0.35">
      <c r="A24" t="s">
        <v>117</v>
      </c>
      <c r="B24" s="10">
        <v>2.9523809523809526</v>
      </c>
      <c r="C24" s="10">
        <v>1.1504474832710556</v>
      </c>
      <c r="D24" s="10">
        <v>1.6666666666666667</v>
      </c>
      <c r="E24" s="10">
        <v>1.1547005383792515</v>
      </c>
      <c r="F24" s="10">
        <v>2</v>
      </c>
      <c r="G24" s="10">
        <v>0.81649658092772603</v>
      </c>
      <c r="H24" s="10">
        <v>2.2063492063492065</v>
      </c>
      <c r="I24" s="10">
        <v>1.2247448713915889</v>
      </c>
      <c r="O24" t="s">
        <v>117</v>
      </c>
      <c r="P24" t="str">
        <f t="shared" si="0"/>
        <v>2,95 (1,15)</v>
      </c>
      <c r="Q24" t="str">
        <f t="shared" si="1"/>
        <v>1,67 (1,15)</v>
      </c>
      <c r="R24" t="str">
        <f t="shared" si="2"/>
        <v>2,00 (0,82)</v>
      </c>
      <c r="S24" t="str">
        <f t="shared" si="3"/>
        <v>2,21 (1,22)</v>
      </c>
    </row>
    <row r="25" spans="1:19" x14ac:dyDescent="0.35">
      <c r="A25" t="s">
        <v>119</v>
      </c>
      <c r="B25" s="10">
        <v>2.6</v>
      </c>
      <c r="C25" s="10">
        <v>0.98518436614377802</v>
      </c>
      <c r="D25" s="10">
        <v>2</v>
      </c>
      <c r="E25" s="10">
        <v>1.7320508075688772</v>
      </c>
      <c r="F25" s="10">
        <v>2</v>
      </c>
      <c r="G25" s="10">
        <v>0.81649658092772603</v>
      </c>
      <c r="H25" s="10">
        <v>2.1999999999999997</v>
      </c>
      <c r="I25" s="10">
        <v>1.0801234497346435</v>
      </c>
      <c r="O25" t="s">
        <v>119</v>
      </c>
      <c r="P25" t="str">
        <f t="shared" si="0"/>
        <v>2,60 (0,99)</v>
      </c>
      <c r="Q25" t="str">
        <f t="shared" si="1"/>
        <v>2,00 (1,73)</v>
      </c>
      <c r="R25" t="str">
        <f t="shared" si="2"/>
        <v>2,00 (0,82)</v>
      </c>
      <c r="S25" t="str">
        <f t="shared" si="3"/>
        <v>2,20 (1,08)</v>
      </c>
    </row>
    <row r="26" spans="1:19" x14ac:dyDescent="0.35">
      <c r="A26" t="s">
        <v>121</v>
      </c>
      <c r="B26" s="10">
        <v>2.92</v>
      </c>
      <c r="C26" s="10">
        <v>1.3284223283101428</v>
      </c>
      <c r="D26" s="10">
        <v>1.3333333333333333</v>
      </c>
      <c r="E26" s="10">
        <v>0.57735026918962584</v>
      </c>
      <c r="F26" s="10">
        <v>2.25</v>
      </c>
      <c r="G26" s="10">
        <v>0.9574271077563381</v>
      </c>
      <c r="H26" s="10">
        <v>2.1677777777777778</v>
      </c>
      <c r="I26" s="10">
        <v>1.3820274961085255</v>
      </c>
      <c r="O26" t="s">
        <v>121</v>
      </c>
      <c r="P26" t="str">
        <f t="shared" si="0"/>
        <v>2,92 (1,33)</v>
      </c>
      <c r="Q26" t="str">
        <f t="shared" si="1"/>
        <v>1,33 (0,58)</v>
      </c>
      <c r="R26" t="str">
        <f t="shared" si="2"/>
        <v>2,25 (0,96)</v>
      </c>
      <c r="S26" t="str">
        <f t="shared" si="3"/>
        <v>2,17 (1,38)</v>
      </c>
    </row>
    <row r="27" spans="1:19" x14ac:dyDescent="0.35">
      <c r="A27" t="s">
        <v>123</v>
      </c>
      <c r="B27" s="10">
        <v>2.95</v>
      </c>
      <c r="C27" s="10">
        <v>1.2514697241996051</v>
      </c>
      <c r="D27" s="10">
        <v>1.3333333333333333</v>
      </c>
      <c r="E27" s="10">
        <v>0.57735026918962584</v>
      </c>
      <c r="F27" s="10">
        <v>2</v>
      </c>
      <c r="G27" s="10">
        <v>0.81649658092772603</v>
      </c>
      <c r="H27" s="10">
        <v>2.0944444444444446</v>
      </c>
      <c r="I27" s="10">
        <v>1.3180739131701646</v>
      </c>
      <c r="O27" t="s">
        <v>123</v>
      </c>
      <c r="P27" t="str">
        <f t="shared" si="0"/>
        <v>2,95 (1,25)</v>
      </c>
      <c r="Q27" t="str">
        <f t="shared" si="1"/>
        <v>1,33 (0,58)</v>
      </c>
      <c r="R27" t="str">
        <f t="shared" si="2"/>
        <v>2,00 (0,82)</v>
      </c>
      <c r="S27" t="str">
        <f t="shared" si="3"/>
        <v>2,09 (1,32)</v>
      </c>
    </row>
    <row r="28" spans="1:19" x14ac:dyDescent="0.35">
      <c r="A28" t="s">
        <v>127</v>
      </c>
      <c r="B28" s="10">
        <v>3.0555555555555554</v>
      </c>
      <c r="C28" s="10">
        <v>1.4040757000349273</v>
      </c>
      <c r="D28" s="10">
        <v>1.3333333333333333</v>
      </c>
      <c r="E28" s="10">
        <v>0.57735026918962584</v>
      </c>
      <c r="F28" s="10">
        <v>1.75</v>
      </c>
      <c r="G28" s="10">
        <v>0.5</v>
      </c>
      <c r="H28" s="10">
        <v>2.0462962962962963</v>
      </c>
      <c r="I28" s="10">
        <v>1.4682793180604827</v>
      </c>
      <c r="O28" t="s">
        <v>127</v>
      </c>
      <c r="P28" t="str">
        <f t="shared" si="0"/>
        <v>3,06 (1,40)</v>
      </c>
      <c r="Q28" t="str">
        <f t="shared" si="1"/>
        <v>1,33 (0,58)</v>
      </c>
      <c r="R28" t="str">
        <f t="shared" si="2"/>
        <v>1,75 (0,50)</v>
      </c>
      <c r="S28" t="str">
        <f t="shared" si="3"/>
        <v>2,05 (1,47)</v>
      </c>
    </row>
    <row r="29" spans="1:19" x14ac:dyDescent="0.35">
      <c r="A29" t="s">
        <v>131</v>
      </c>
      <c r="B29" s="10">
        <v>2.72</v>
      </c>
      <c r="C29" s="10">
        <v>1.4095843729891315</v>
      </c>
      <c r="D29" s="10">
        <v>1.3333333333333333</v>
      </c>
      <c r="E29" s="10">
        <v>0.57735026918962584</v>
      </c>
      <c r="F29" s="10">
        <v>2</v>
      </c>
      <c r="G29" s="10">
        <v>0.81649658092772603</v>
      </c>
      <c r="H29" s="10">
        <v>2.0177777777777779</v>
      </c>
      <c r="I29" s="10">
        <v>1.4</v>
      </c>
      <c r="O29" t="s">
        <v>131</v>
      </c>
      <c r="P29" t="str">
        <f t="shared" si="0"/>
        <v>2,72 (1,41)</v>
      </c>
      <c r="Q29" t="str">
        <f t="shared" si="1"/>
        <v>1,33 (0,58)</v>
      </c>
      <c r="R29" t="str">
        <f t="shared" si="2"/>
        <v>2,00 (0,82)</v>
      </c>
      <c r="S29" t="str">
        <f t="shared" si="3"/>
        <v>2,02 (1,40)</v>
      </c>
    </row>
    <row r="30" spans="1:19" x14ac:dyDescent="0.35">
      <c r="A30" t="s">
        <v>133</v>
      </c>
      <c r="B30" s="10">
        <v>2.95</v>
      </c>
      <c r="C30" s="10">
        <v>1.5218989685876771</v>
      </c>
      <c r="D30" s="10">
        <v>1.3333333333333333</v>
      </c>
      <c r="E30" s="10">
        <v>0.57735026918962584</v>
      </c>
      <c r="F30" s="10">
        <v>1.75</v>
      </c>
      <c r="G30" s="10">
        <v>0.5</v>
      </c>
      <c r="H30" s="10">
        <v>2.0111111111111111</v>
      </c>
      <c r="I30" s="10">
        <v>1.5108304655560048</v>
      </c>
      <c r="O30" t="s">
        <v>133</v>
      </c>
      <c r="P30" t="str">
        <f t="shared" si="0"/>
        <v>2,95 (1,52)</v>
      </c>
      <c r="Q30" t="str">
        <f t="shared" si="1"/>
        <v>1,33 (0,58)</v>
      </c>
      <c r="R30" t="str">
        <f t="shared" si="2"/>
        <v>1,75 (0,50)</v>
      </c>
      <c r="S30" t="str">
        <f t="shared" si="3"/>
        <v>2,01 (1,51)</v>
      </c>
    </row>
    <row r="31" spans="1:19" x14ac:dyDescent="0.35">
      <c r="A31" t="s">
        <v>135</v>
      </c>
      <c r="B31" s="10">
        <v>3</v>
      </c>
      <c r="C31" s="10">
        <v>1.0878112581387147</v>
      </c>
      <c r="D31" s="10">
        <v>1</v>
      </c>
      <c r="E31" s="10">
        <v>0</v>
      </c>
      <c r="F31" s="10">
        <v>2</v>
      </c>
      <c r="G31" s="10">
        <v>1.1547005383792515</v>
      </c>
      <c r="H31" s="10">
        <v>2</v>
      </c>
      <c r="I31" s="10">
        <v>1.3366230825562362</v>
      </c>
      <c r="O31" t="s">
        <v>135</v>
      </c>
      <c r="P31" t="str">
        <f t="shared" si="0"/>
        <v>3,00 (1,09)</v>
      </c>
      <c r="Q31" t="str">
        <f t="shared" si="1"/>
        <v>1,00 (0,00)</v>
      </c>
      <c r="R31" t="str">
        <f t="shared" si="2"/>
        <v>2,00 (1,15)</v>
      </c>
      <c r="S31" t="str">
        <f t="shared" si="3"/>
        <v>2,00 (1,34)</v>
      </c>
    </row>
    <row r="32" spans="1:19" x14ac:dyDescent="0.35">
      <c r="A32" t="s">
        <v>139</v>
      </c>
      <c r="B32" s="10">
        <v>2.8636363636363638</v>
      </c>
      <c r="C32" s="10">
        <v>1.5976172734359602</v>
      </c>
      <c r="D32" s="10">
        <v>1.3333333333333333</v>
      </c>
      <c r="E32" s="10">
        <v>0.57735026918962584</v>
      </c>
      <c r="F32" s="10">
        <v>1.5</v>
      </c>
      <c r="G32" s="10">
        <v>0.57735026918962573</v>
      </c>
      <c r="H32" s="10">
        <v>1.898989898989899</v>
      </c>
      <c r="I32" s="10">
        <v>1.6703422673342401</v>
      </c>
      <c r="O32" t="s">
        <v>139</v>
      </c>
      <c r="P32" t="str">
        <f t="shared" si="0"/>
        <v>2,86 (1,60)</v>
      </c>
      <c r="Q32" t="str">
        <f t="shared" si="1"/>
        <v>1,33 (0,58)</v>
      </c>
      <c r="R32" t="str">
        <f t="shared" si="2"/>
        <v>1,50 (0,58)</v>
      </c>
      <c r="S32" t="str">
        <f t="shared" si="3"/>
        <v>1,90 (1,67)</v>
      </c>
    </row>
    <row r="33" spans="1:19" x14ac:dyDescent="0.35">
      <c r="A33" t="s">
        <v>143</v>
      </c>
      <c r="B33" s="10">
        <v>2.8095238095238093</v>
      </c>
      <c r="C33" s="10">
        <v>1.2589548523523149</v>
      </c>
      <c r="D33" s="10">
        <v>1.3333333333333333</v>
      </c>
      <c r="E33" s="10">
        <v>0.57735026918962584</v>
      </c>
      <c r="F33" s="10">
        <v>1.5</v>
      </c>
      <c r="G33" s="10">
        <v>0.57735026918962573</v>
      </c>
      <c r="H33" s="10">
        <v>1.8809523809523807</v>
      </c>
      <c r="I33" s="10">
        <v>1.3228756555322954</v>
      </c>
      <c r="O33" t="s">
        <v>143</v>
      </c>
      <c r="P33" t="str">
        <f t="shared" si="0"/>
        <v>2,81 (1,26)</v>
      </c>
      <c r="Q33" t="str">
        <f t="shared" si="1"/>
        <v>1,33 (0,58)</v>
      </c>
      <c r="R33" t="str">
        <f t="shared" si="2"/>
        <v>1,50 (0,58)</v>
      </c>
      <c r="S33" t="str">
        <f t="shared" si="3"/>
        <v>1,88 (1,32)</v>
      </c>
    </row>
    <row r="34" spans="1:19" x14ac:dyDescent="0.35">
      <c r="A34" t="s">
        <v>150</v>
      </c>
      <c r="B34" s="10">
        <v>3</v>
      </c>
      <c r="C34" s="10">
        <v>1.3197840980097757</v>
      </c>
      <c r="D34" s="10">
        <v>1.3333333333333333</v>
      </c>
      <c r="E34" s="10">
        <v>0.57735026918962584</v>
      </c>
      <c r="F34" s="10">
        <v>1.25</v>
      </c>
      <c r="G34" s="10">
        <v>0.5</v>
      </c>
      <c r="H34" s="10">
        <v>1.8611111111111109</v>
      </c>
      <c r="I34" s="10">
        <v>1.4583095236151571</v>
      </c>
      <c r="O34" t="s">
        <v>150</v>
      </c>
      <c r="P34" t="str">
        <f t="shared" ref="P34:P50" si="4">TEXT(B34, "0,00") &amp; " (" &amp; TEXT(C34, "0,00") &amp; ")"</f>
        <v>3,00 (1,32)</v>
      </c>
      <c r="Q34" t="str">
        <f t="shared" ref="Q34:Q50" si="5">TEXT(D34, "0,00") &amp; " (" &amp; TEXT(E34, "0,00") &amp; ")"</f>
        <v>1,33 (0,58)</v>
      </c>
      <c r="R34" t="str">
        <f t="shared" ref="R34:R50" si="6">TEXT(F34, "0,00") &amp; " (" &amp; TEXT(G34, "0,00") &amp; ")"</f>
        <v>1,25 (0,50)</v>
      </c>
      <c r="S34" t="str">
        <f t="shared" si="3"/>
        <v>1,86 (1,46)</v>
      </c>
    </row>
    <row r="35" spans="1:19" x14ac:dyDescent="0.35">
      <c r="A35" t="s">
        <v>153</v>
      </c>
      <c r="B35" s="10">
        <v>2.7727272727272729</v>
      </c>
      <c r="C35" s="10">
        <v>1.4540583599999395</v>
      </c>
      <c r="D35" s="10">
        <v>1</v>
      </c>
      <c r="E35" s="10">
        <v>0</v>
      </c>
      <c r="F35" s="10">
        <v>1.75</v>
      </c>
      <c r="G35" s="10">
        <v>0.5</v>
      </c>
      <c r="H35" s="10">
        <v>1.8409090909090911</v>
      </c>
      <c r="I35" s="10">
        <v>1.5409279264322764</v>
      </c>
      <c r="O35" t="s">
        <v>153</v>
      </c>
      <c r="P35" t="str">
        <f t="shared" si="4"/>
        <v>2,77 (1,45)</v>
      </c>
      <c r="Q35" t="str">
        <f t="shared" si="5"/>
        <v>1,00 (0,00)</v>
      </c>
      <c r="R35" t="str">
        <f t="shared" si="6"/>
        <v>1,75 (0,50)</v>
      </c>
      <c r="S35" t="str">
        <f t="shared" si="3"/>
        <v>1,84 (1,54)</v>
      </c>
    </row>
    <row r="36" spans="1:19" x14ac:dyDescent="0.35">
      <c r="A36" t="s">
        <v>155</v>
      </c>
      <c r="B36" s="10">
        <v>3.1666666666666665</v>
      </c>
      <c r="C36" s="10">
        <v>1.302013093343571</v>
      </c>
      <c r="D36" s="10">
        <v>1.3333333333333333</v>
      </c>
      <c r="E36" s="10">
        <v>0.57735026918962584</v>
      </c>
      <c r="F36" s="10">
        <v>1</v>
      </c>
      <c r="G36" s="10">
        <v>0</v>
      </c>
      <c r="H36" s="10">
        <v>1.8333333333333333</v>
      </c>
      <c r="I36" s="10">
        <v>1.5715269548108204</v>
      </c>
      <c r="O36" t="s">
        <v>155</v>
      </c>
      <c r="P36" t="str">
        <f t="shared" si="4"/>
        <v>3,17 (1,30)</v>
      </c>
      <c r="Q36" t="str">
        <f t="shared" si="5"/>
        <v>1,33 (0,58)</v>
      </c>
      <c r="R36" t="str">
        <f t="shared" si="6"/>
        <v>1,00 (0,00)</v>
      </c>
      <c r="S36" t="str">
        <f t="shared" si="3"/>
        <v>1,83 (1,57)</v>
      </c>
    </row>
    <row r="37" spans="1:19" x14ac:dyDescent="0.35">
      <c r="A37" t="s">
        <v>157</v>
      </c>
      <c r="B37" s="10">
        <v>2.7272727272727271</v>
      </c>
      <c r="C37" s="10">
        <v>1.6818357317441641</v>
      </c>
      <c r="D37" s="10">
        <v>1.3333333333333333</v>
      </c>
      <c r="E37" s="10">
        <v>0.57735026918962584</v>
      </c>
      <c r="F37" s="10">
        <v>1.25</v>
      </c>
      <c r="G37" s="10">
        <v>0.5</v>
      </c>
      <c r="H37" s="10">
        <v>1.7702020202020201</v>
      </c>
      <c r="I37" s="10">
        <v>1.7232808737106584</v>
      </c>
      <c r="O37" t="s">
        <v>157</v>
      </c>
      <c r="P37" t="str">
        <f t="shared" si="4"/>
        <v>2,73 (1,68)</v>
      </c>
      <c r="Q37" t="str">
        <f t="shared" si="5"/>
        <v>1,33 (0,58)</v>
      </c>
      <c r="R37" t="str">
        <f t="shared" si="6"/>
        <v>1,25 (0,50)</v>
      </c>
      <c r="S37" t="str">
        <f t="shared" si="3"/>
        <v>1,77 (1,72)</v>
      </c>
    </row>
    <row r="38" spans="1:19" x14ac:dyDescent="0.35">
      <c r="A38" t="s">
        <v>159</v>
      </c>
      <c r="B38" s="10">
        <v>2.6666666666666665</v>
      </c>
      <c r="C38" s="10">
        <v>1.1629191512658792</v>
      </c>
      <c r="D38" s="10">
        <v>1.3333333333333333</v>
      </c>
      <c r="E38" s="10">
        <v>0.57735026918962584</v>
      </c>
      <c r="F38" s="10">
        <v>1.25</v>
      </c>
      <c r="G38" s="10">
        <v>0.5</v>
      </c>
      <c r="H38" s="10">
        <v>1.75</v>
      </c>
      <c r="I38" s="10">
        <v>1.2595952074297863</v>
      </c>
      <c r="O38" t="s">
        <v>159</v>
      </c>
      <c r="P38" t="str">
        <f t="shared" si="4"/>
        <v>2,67 (1,16)</v>
      </c>
      <c r="Q38" t="str">
        <f t="shared" si="5"/>
        <v>1,33 (0,58)</v>
      </c>
      <c r="R38" t="str">
        <f t="shared" si="6"/>
        <v>1,25 (0,50)</v>
      </c>
      <c r="S38" t="str">
        <f t="shared" si="3"/>
        <v>1,75 (1,26)</v>
      </c>
    </row>
    <row r="39" spans="1:19" x14ac:dyDescent="0.35">
      <c r="A39" s="6" t="s">
        <v>163</v>
      </c>
      <c r="B39" s="10">
        <v>2.5454545454545454</v>
      </c>
      <c r="C39" s="10">
        <v>1.641718031587061</v>
      </c>
      <c r="D39" s="10">
        <v>1.3333333333333333</v>
      </c>
      <c r="E39" s="10">
        <v>0.57735026918962584</v>
      </c>
      <c r="F39" s="10">
        <v>1.25</v>
      </c>
      <c r="G39" s="10">
        <v>0.5</v>
      </c>
      <c r="H39" s="10">
        <v>1.7095959595959596</v>
      </c>
      <c r="I39" s="10">
        <v>1.625020812387534</v>
      </c>
      <c r="O39" s="6" t="s">
        <v>163</v>
      </c>
      <c r="P39" t="str">
        <f t="shared" si="4"/>
        <v>2,55 (1,64)</v>
      </c>
      <c r="Q39" t="str">
        <f t="shared" si="5"/>
        <v>1,33 (0,58)</v>
      </c>
      <c r="R39" t="str">
        <f t="shared" si="6"/>
        <v>1,25 (0,50)</v>
      </c>
      <c r="S39" t="str">
        <f t="shared" si="3"/>
        <v>1,71 (1,63)</v>
      </c>
    </row>
    <row r="40" spans="1:19" x14ac:dyDescent="0.35">
      <c r="A40" t="s">
        <v>167</v>
      </c>
      <c r="B40" s="10">
        <v>2.5</v>
      </c>
      <c r="C40" s="10">
        <v>1.4074631010979932</v>
      </c>
      <c r="D40" s="10">
        <v>1</v>
      </c>
      <c r="E40" s="10">
        <v>0</v>
      </c>
      <c r="F40" s="10">
        <v>1.25</v>
      </c>
      <c r="G40" s="10">
        <v>0.5</v>
      </c>
      <c r="H40" s="10">
        <v>1.5833333333333333</v>
      </c>
      <c r="I40" s="10">
        <v>1.5039630187955959</v>
      </c>
      <c r="O40" t="s">
        <v>167</v>
      </c>
      <c r="P40" t="str">
        <f t="shared" si="4"/>
        <v>2,50 (1,41)</v>
      </c>
      <c r="Q40" t="str">
        <f t="shared" si="5"/>
        <v>1,00 (0,00)</v>
      </c>
      <c r="R40" t="str">
        <f t="shared" si="6"/>
        <v>1,25 (0,50)</v>
      </c>
      <c r="S40" t="str">
        <f t="shared" si="3"/>
        <v>1,58 (1,50)</v>
      </c>
    </row>
    <row r="41" spans="1:19" x14ac:dyDescent="0.35">
      <c r="A41" t="s">
        <v>169</v>
      </c>
      <c r="B41" s="10">
        <v>2.6363636363636362</v>
      </c>
      <c r="C41" s="10">
        <v>1.3451854182690988</v>
      </c>
      <c r="D41" s="10">
        <v>1.3333333333333333</v>
      </c>
      <c r="E41" s="10">
        <v>0.57735026918962584</v>
      </c>
      <c r="F41" s="10">
        <v>1</v>
      </c>
      <c r="G41" s="10">
        <v>0</v>
      </c>
      <c r="H41" s="10">
        <v>1.6565656565656566</v>
      </c>
      <c r="I41" s="10">
        <v>1.5289415743128767</v>
      </c>
      <c r="O41" t="s">
        <v>169</v>
      </c>
      <c r="P41" t="str">
        <f t="shared" si="4"/>
        <v>2,64 (1,35)</v>
      </c>
      <c r="Q41" t="str">
        <f t="shared" si="5"/>
        <v>1,33 (0,58)</v>
      </c>
      <c r="R41" t="str">
        <f t="shared" si="6"/>
        <v>1,00 (0,00)</v>
      </c>
      <c r="S41" t="str">
        <f t="shared" si="3"/>
        <v>1,66 (1,53)</v>
      </c>
    </row>
    <row r="42" spans="1:19" x14ac:dyDescent="0.35">
      <c r="A42" t="s">
        <v>175</v>
      </c>
      <c r="B42" s="10">
        <v>2.6190476190476191</v>
      </c>
      <c r="C42" s="10">
        <v>1.4245742398014511</v>
      </c>
      <c r="D42" s="10">
        <v>1.3333333333333333</v>
      </c>
      <c r="E42" s="10">
        <v>0.57735026918962584</v>
      </c>
      <c r="F42" s="10">
        <v>1</v>
      </c>
      <c r="G42" s="10">
        <v>0</v>
      </c>
      <c r="H42" s="10">
        <v>1.6507936507936509</v>
      </c>
      <c r="I42" s="10">
        <v>1.4399074044303448</v>
      </c>
      <c r="O42" t="s">
        <v>175</v>
      </c>
      <c r="P42" t="str">
        <f t="shared" si="4"/>
        <v>2,62 (1,42)</v>
      </c>
      <c r="Q42" t="str">
        <f t="shared" si="5"/>
        <v>1,33 (0,58)</v>
      </c>
      <c r="R42" t="str">
        <f t="shared" si="6"/>
        <v>1,00 (0,00)</v>
      </c>
      <c r="S42" t="str">
        <f t="shared" si="3"/>
        <v>1,65 (1,44)</v>
      </c>
    </row>
    <row r="43" spans="1:19" x14ac:dyDescent="0.35">
      <c r="A43" t="s">
        <v>177</v>
      </c>
      <c r="B43" s="10">
        <v>2.15</v>
      </c>
      <c r="C43" s="10">
        <v>1.2514697241996051</v>
      </c>
      <c r="D43" s="10">
        <v>1.6666666666666667</v>
      </c>
      <c r="E43" s="10">
        <v>1.1547005383792515</v>
      </c>
      <c r="F43" s="10">
        <v>1</v>
      </c>
      <c r="G43" s="10">
        <v>0</v>
      </c>
      <c r="H43" s="10">
        <v>1.6055555555555554</v>
      </c>
      <c r="I43" s="10">
        <v>1.1970676733137326</v>
      </c>
      <c r="O43" t="s">
        <v>177</v>
      </c>
      <c r="P43" t="str">
        <f t="shared" si="4"/>
        <v>2,15 (1,25)</v>
      </c>
      <c r="Q43" t="str">
        <f t="shared" si="5"/>
        <v>1,67 (1,15)</v>
      </c>
      <c r="R43" t="str">
        <f t="shared" si="6"/>
        <v>1,00 (0,00)</v>
      </c>
      <c r="S43" t="str">
        <f t="shared" si="3"/>
        <v>1,61 (1,20)</v>
      </c>
    </row>
    <row r="44" spans="1:19" x14ac:dyDescent="0.35">
      <c r="A44" t="s">
        <v>179</v>
      </c>
      <c r="B44" s="10">
        <v>2.5454545454545454</v>
      </c>
      <c r="C44" s="10">
        <v>1.5212776585113299</v>
      </c>
      <c r="D44" s="10">
        <v>1</v>
      </c>
      <c r="E44" s="10">
        <v>0</v>
      </c>
      <c r="F44" s="10">
        <v>1.25</v>
      </c>
      <c r="G44" s="10">
        <v>0.5</v>
      </c>
      <c r="H44" s="10">
        <v>1.5984848484848484</v>
      </c>
      <c r="I44" s="10">
        <v>1.5954480704349314</v>
      </c>
      <c r="O44" t="s">
        <v>179</v>
      </c>
      <c r="P44" t="str">
        <f t="shared" si="4"/>
        <v>2,55 (1,52)</v>
      </c>
      <c r="Q44" t="str">
        <f t="shared" si="5"/>
        <v>1,00 (0,00)</v>
      </c>
      <c r="R44" t="str">
        <f t="shared" si="6"/>
        <v>1,25 (0,50)</v>
      </c>
      <c r="S44" t="str">
        <f t="shared" si="3"/>
        <v>1,60 (1,60)</v>
      </c>
    </row>
    <row r="45" spans="1:19" x14ac:dyDescent="0.35">
      <c r="A45" t="s">
        <v>183</v>
      </c>
      <c r="B45" s="10">
        <v>2.0869565217391304</v>
      </c>
      <c r="C45" s="10">
        <v>1.2649110640673518</v>
      </c>
      <c r="D45" s="10">
        <v>1.3333333333333333</v>
      </c>
      <c r="E45" s="10">
        <v>0.57735026918962584</v>
      </c>
      <c r="F45" s="10">
        <v>1</v>
      </c>
      <c r="G45" s="10">
        <v>0</v>
      </c>
      <c r="H45" s="10">
        <v>1.4734299516908214</v>
      </c>
      <c r="I45" s="10">
        <v>1.2399795994751786</v>
      </c>
      <c r="O45" t="s">
        <v>183</v>
      </c>
      <c r="P45" t="str">
        <f t="shared" si="4"/>
        <v>2,09 (1,26)</v>
      </c>
      <c r="Q45" t="str">
        <f t="shared" si="5"/>
        <v>1,33 (0,58)</v>
      </c>
      <c r="R45" t="str">
        <f t="shared" si="6"/>
        <v>1,00 (0,00)</v>
      </c>
      <c r="S45" t="str">
        <f t="shared" si="3"/>
        <v>1,47 (1,24)</v>
      </c>
    </row>
    <row r="46" spans="1:19" x14ac:dyDescent="0.35">
      <c r="A46" t="s">
        <v>186</v>
      </c>
      <c r="B46" s="10">
        <v>2.4090909090909092</v>
      </c>
      <c r="C46" s="10">
        <v>1.5796322658258459</v>
      </c>
      <c r="D46" s="10">
        <v>1</v>
      </c>
      <c r="E46" s="10">
        <v>0</v>
      </c>
      <c r="F46" s="10">
        <v>1</v>
      </c>
      <c r="G46" s="10">
        <v>0</v>
      </c>
      <c r="H46" s="10">
        <v>1.4696969696969697</v>
      </c>
      <c r="I46" s="10">
        <v>1.6230216062021892</v>
      </c>
      <c r="O46" t="s">
        <v>186</v>
      </c>
      <c r="P46" t="str">
        <f t="shared" si="4"/>
        <v>2,41 (1,58)</v>
      </c>
      <c r="Q46" t="str">
        <f t="shared" si="5"/>
        <v>1,00 (0,00)</v>
      </c>
      <c r="R46" t="str">
        <f t="shared" si="6"/>
        <v>1,00 (0,00)</v>
      </c>
      <c r="S46" t="str">
        <f t="shared" si="3"/>
        <v>1,47 (1,62)</v>
      </c>
    </row>
    <row r="47" spans="1:19" x14ac:dyDescent="0.35">
      <c r="A47" t="s">
        <v>188</v>
      </c>
      <c r="B47" s="10">
        <v>2.4</v>
      </c>
      <c r="C47" s="10">
        <v>1.3666188418222285</v>
      </c>
      <c r="D47" s="10">
        <v>1</v>
      </c>
      <c r="E47" s="10">
        <v>0</v>
      </c>
      <c r="F47" s="10">
        <v>1</v>
      </c>
      <c r="G47" s="10">
        <v>0</v>
      </c>
      <c r="H47" s="10">
        <v>1.4666666666666668</v>
      </c>
      <c r="I47" s="10">
        <v>1.3726099121798927</v>
      </c>
      <c r="O47" t="s">
        <v>188</v>
      </c>
      <c r="P47" t="str">
        <f t="shared" si="4"/>
        <v>2,40 (1,37)</v>
      </c>
      <c r="Q47" t="str">
        <f t="shared" si="5"/>
        <v>1,00 (0,00)</v>
      </c>
      <c r="R47" t="str">
        <f t="shared" si="6"/>
        <v>1,00 (0,00)</v>
      </c>
      <c r="S47" t="str">
        <f t="shared" si="3"/>
        <v>1,47 (1,37)</v>
      </c>
    </row>
    <row r="48" spans="1:19" x14ac:dyDescent="0.35">
      <c r="A48" t="s">
        <v>190</v>
      </c>
      <c r="B48" s="10">
        <v>2.0476190476190474</v>
      </c>
      <c r="C48" s="10">
        <v>1.200490095997562</v>
      </c>
      <c r="D48" s="10">
        <v>1.3333333333333333</v>
      </c>
      <c r="E48" s="10">
        <v>0.57735026918962584</v>
      </c>
      <c r="F48" s="10">
        <v>1</v>
      </c>
      <c r="G48" s="10">
        <v>0</v>
      </c>
      <c r="H48" s="10">
        <v>1.4603174603174602</v>
      </c>
      <c r="I48" s="10">
        <v>1.1298967504452195</v>
      </c>
      <c r="O48" t="s">
        <v>190</v>
      </c>
      <c r="P48" t="str">
        <f t="shared" si="4"/>
        <v>2,05 (1,20)</v>
      </c>
      <c r="Q48" t="str">
        <f t="shared" si="5"/>
        <v>1,33 (0,58)</v>
      </c>
      <c r="R48" t="str">
        <f t="shared" si="6"/>
        <v>1,00 (0,00)</v>
      </c>
      <c r="S48" t="str">
        <f t="shared" si="3"/>
        <v>1,46 (1,13)</v>
      </c>
    </row>
    <row r="49" spans="1:19" x14ac:dyDescent="0.35">
      <c r="A49" t="s">
        <v>193</v>
      </c>
      <c r="B49" s="10">
        <v>1.75</v>
      </c>
      <c r="C49" s="10">
        <v>0.78121323442902502</v>
      </c>
      <c r="D49" s="10">
        <v>1</v>
      </c>
      <c r="E49" s="10">
        <v>0</v>
      </c>
      <c r="F49" s="10">
        <v>1</v>
      </c>
      <c r="G49" s="10">
        <v>0</v>
      </c>
      <c r="H49" s="10">
        <v>1.25</v>
      </c>
      <c r="I49" s="10">
        <v>0.76966960726523825</v>
      </c>
      <c r="O49" t="s">
        <v>193</v>
      </c>
      <c r="P49" t="str">
        <f t="shared" si="4"/>
        <v>1,75 (0,78)</v>
      </c>
      <c r="Q49" t="str">
        <f t="shared" si="5"/>
        <v>1,00 (0,00)</v>
      </c>
      <c r="R49" t="str">
        <f t="shared" si="6"/>
        <v>1,00 (0,00)</v>
      </c>
      <c r="S49" t="str">
        <f t="shared" si="3"/>
        <v>1,25 (0,77)</v>
      </c>
    </row>
    <row r="50" spans="1:19" x14ac:dyDescent="0.35">
      <c r="B50" s="10">
        <v>2.9706353258255427</v>
      </c>
      <c r="C50" s="10">
        <v>0.45971986048710367</v>
      </c>
      <c r="D50" s="10">
        <v>1.4375000000000007</v>
      </c>
      <c r="E50" s="10">
        <v>0.44645305572844224</v>
      </c>
      <c r="F50" s="10">
        <v>1.8958333333333333</v>
      </c>
      <c r="G50" s="10">
        <v>0.6760203740267674</v>
      </c>
      <c r="H50" s="10">
        <v>2.1013228863862916</v>
      </c>
      <c r="I50" s="10">
        <v>0.43242212955325815</v>
      </c>
      <c r="P50" t="str">
        <f t="shared" si="4"/>
        <v>2,97 (0,46)</v>
      </c>
      <c r="Q50" t="str">
        <f t="shared" si="5"/>
        <v>1,44 (0,45)</v>
      </c>
      <c r="R50" t="str">
        <f t="shared" si="6"/>
        <v>1,90 (0,68)</v>
      </c>
      <c r="S50" t="str">
        <f t="shared" si="3"/>
        <v>2,10 (0,43)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73166-3AC7-4BA2-A34F-C0315C34148B}">
  <dimension ref="A1:C26"/>
  <sheetViews>
    <sheetView workbookViewId="0">
      <selection activeCell="C25" sqref="C25"/>
    </sheetView>
  </sheetViews>
  <sheetFormatPr defaultRowHeight="14.5" x14ac:dyDescent="0.35"/>
  <cols>
    <col min="2" max="2" width="16.1796875" bestFit="1" customWidth="1"/>
    <col min="3" max="3" width="140.26953125" customWidth="1"/>
  </cols>
  <sheetData>
    <row r="1" spans="1:3" x14ac:dyDescent="0.35">
      <c r="A1" s="3" t="s">
        <v>206</v>
      </c>
      <c r="B1" s="3" t="s">
        <v>207</v>
      </c>
      <c r="C1" s="4" t="s">
        <v>208</v>
      </c>
    </row>
    <row r="2" spans="1:3" x14ac:dyDescent="0.35">
      <c r="A2" s="3" t="s">
        <v>209</v>
      </c>
      <c r="B2" s="3" t="s">
        <v>10</v>
      </c>
      <c r="C2" s="5" t="s">
        <v>210</v>
      </c>
    </row>
    <row r="3" spans="1:3" x14ac:dyDescent="0.35">
      <c r="A3" s="3" t="s">
        <v>209</v>
      </c>
      <c r="B3" s="3" t="s">
        <v>11</v>
      </c>
      <c r="C3" s="5" t="s">
        <v>211</v>
      </c>
    </row>
    <row r="4" spans="1:3" x14ac:dyDescent="0.35">
      <c r="A4" s="3" t="s">
        <v>209</v>
      </c>
      <c r="B4" s="3" t="s">
        <v>12</v>
      </c>
      <c r="C4" s="5" t="s">
        <v>212</v>
      </c>
    </row>
    <row r="5" spans="1:3" ht="29" x14ac:dyDescent="0.35">
      <c r="A5" s="3" t="s">
        <v>209</v>
      </c>
      <c r="B5" s="3" t="s">
        <v>13</v>
      </c>
      <c r="C5" s="5" t="s">
        <v>213</v>
      </c>
    </row>
    <row r="6" spans="1:3" x14ac:dyDescent="0.35">
      <c r="A6" s="3" t="s">
        <v>209</v>
      </c>
      <c r="B6" s="3" t="s">
        <v>14</v>
      </c>
      <c r="C6" s="5" t="s">
        <v>214</v>
      </c>
    </row>
    <row r="7" spans="1:3" x14ac:dyDescent="0.35">
      <c r="A7" s="3" t="s">
        <v>215</v>
      </c>
      <c r="B7" s="3" t="s">
        <v>17</v>
      </c>
      <c r="C7" s="5" t="s">
        <v>216</v>
      </c>
    </row>
    <row r="8" spans="1:3" x14ac:dyDescent="0.35">
      <c r="A8" s="3" t="s">
        <v>215</v>
      </c>
      <c r="B8" s="3" t="s">
        <v>18</v>
      </c>
      <c r="C8" s="5" t="s">
        <v>217</v>
      </c>
    </row>
    <row r="9" spans="1:3" x14ac:dyDescent="0.35">
      <c r="A9" s="3" t="s">
        <v>215</v>
      </c>
      <c r="B9" s="3" t="s">
        <v>19</v>
      </c>
      <c r="C9" s="5" t="s">
        <v>218</v>
      </c>
    </row>
    <row r="10" spans="1:3" x14ac:dyDescent="0.35">
      <c r="A10" s="3" t="s">
        <v>215</v>
      </c>
      <c r="B10" s="3" t="s">
        <v>20</v>
      </c>
      <c r="C10" s="5" t="s">
        <v>219</v>
      </c>
    </row>
    <row r="11" spans="1:3" x14ac:dyDescent="0.35">
      <c r="A11" s="3" t="s">
        <v>220</v>
      </c>
      <c r="B11" s="3" t="s">
        <v>21</v>
      </c>
      <c r="C11" s="5" t="s">
        <v>221</v>
      </c>
    </row>
    <row r="12" spans="1:3" x14ac:dyDescent="0.35">
      <c r="A12" s="3" t="s">
        <v>220</v>
      </c>
      <c r="B12" s="3" t="s">
        <v>22</v>
      </c>
      <c r="C12" s="5" t="s">
        <v>222</v>
      </c>
    </row>
    <row r="13" spans="1:3" x14ac:dyDescent="0.35">
      <c r="A13" s="3" t="s">
        <v>220</v>
      </c>
      <c r="B13" s="3" t="s">
        <v>23</v>
      </c>
      <c r="C13" s="5" t="s">
        <v>223</v>
      </c>
    </row>
    <row r="14" spans="1:3" x14ac:dyDescent="0.35">
      <c r="A14" s="3" t="s">
        <v>224</v>
      </c>
      <c r="B14" s="3" t="s">
        <v>24</v>
      </c>
      <c r="C14" s="5" t="s">
        <v>225</v>
      </c>
    </row>
    <row r="15" spans="1:3" x14ac:dyDescent="0.35">
      <c r="A15" s="3" t="s">
        <v>224</v>
      </c>
      <c r="B15" s="3" t="s">
        <v>25</v>
      </c>
      <c r="C15" s="5" t="s">
        <v>226</v>
      </c>
    </row>
    <row r="16" spans="1:3" x14ac:dyDescent="0.35">
      <c r="A16" s="3" t="s">
        <v>224</v>
      </c>
      <c r="B16" s="3" t="s">
        <v>26</v>
      </c>
      <c r="C16" s="5" t="s">
        <v>227</v>
      </c>
    </row>
    <row r="17" spans="1:3" x14ac:dyDescent="0.35">
      <c r="A17" s="3" t="s">
        <v>224</v>
      </c>
      <c r="B17" s="3" t="s">
        <v>27</v>
      </c>
      <c r="C17" s="5" t="s">
        <v>228</v>
      </c>
    </row>
    <row r="18" spans="1:3" x14ac:dyDescent="0.35">
      <c r="A18" s="3" t="s">
        <v>224</v>
      </c>
      <c r="B18" s="3" t="s">
        <v>28</v>
      </c>
      <c r="C18" s="5" t="s">
        <v>229</v>
      </c>
    </row>
    <row r="19" spans="1:3" x14ac:dyDescent="0.35">
      <c r="A19" s="3" t="s">
        <v>224</v>
      </c>
      <c r="B19" s="3" t="s">
        <v>29</v>
      </c>
      <c r="C19" s="5" t="s">
        <v>230</v>
      </c>
    </row>
    <row r="20" spans="1:3" ht="16" x14ac:dyDescent="0.4">
      <c r="A20" s="3" t="s">
        <v>231</v>
      </c>
      <c r="B20" s="3" t="s">
        <v>30</v>
      </c>
      <c r="C20" s="7" t="s">
        <v>232</v>
      </c>
    </row>
    <row r="21" spans="1:3" ht="32" x14ac:dyDescent="0.4">
      <c r="A21" s="3" t="s">
        <v>231</v>
      </c>
      <c r="B21" s="3" t="s">
        <v>31</v>
      </c>
      <c r="C21" s="8" t="s">
        <v>233</v>
      </c>
    </row>
    <row r="22" spans="1:3" ht="32" x14ac:dyDescent="0.4">
      <c r="A22" s="3" t="s">
        <v>231</v>
      </c>
      <c r="B22" s="3" t="s">
        <v>32</v>
      </c>
      <c r="C22" s="8" t="s">
        <v>234</v>
      </c>
    </row>
    <row r="23" spans="1:3" x14ac:dyDescent="0.35">
      <c r="A23" s="3" t="s">
        <v>235</v>
      </c>
      <c r="B23" s="3" t="s">
        <v>33</v>
      </c>
      <c r="C23" s="5" t="s">
        <v>236</v>
      </c>
    </row>
    <row r="24" spans="1:3" x14ac:dyDescent="0.35">
      <c r="A24" s="3" t="s">
        <v>235</v>
      </c>
      <c r="B24" s="3" t="s">
        <v>34</v>
      </c>
      <c r="C24" s="5" t="s">
        <v>237</v>
      </c>
    </row>
    <row r="25" spans="1:3" x14ac:dyDescent="0.35">
      <c r="A25" s="3" t="s">
        <v>235</v>
      </c>
      <c r="B25" s="3" t="s">
        <v>35</v>
      </c>
      <c r="C25" t="s">
        <v>238</v>
      </c>
    </row>
    <row r="26" spans="1:3" x14ac:dyDescent="0.35">
      <c r="A26" s="3" t="s">
        <v>235</v>
      </c>
      <c r="B26" s="3" t="s">
        <v>36</v>
      </c>
      <c r="C26" s="5" t="s">
        <v>239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C340D-13D7-4439-BA42-8FFF75ABC754}">
  <dimension ref="A1:I28"/>
  <sheetViews>
    <sheetView tabSelected="1" workbookViewId="0">
      <selection activeCell="A2" sqref="A2"/>
    </sheetView>
  </sheetViews>
  <sheetFormatPr defaultRowHeight="14.5" x14ac:dyDescent="0.35"/>
  <cols>
    <col min="3" max="3" width="12.81640625" customWidth="1"/>
    <col min="4" max="4" width="12.26953125" bestFit="1" customWidth="1"/>
    <col min="5" max="5" width="9.26953125" customWidth="1"/>
  </cols>
  <sheetData>
    <row r="1" spans="1:9" ht="29" x14ac:dyDescent="0.35">
      <c r="A1" s="2" t="s">
        <v>7</v>
      </c>
      <c r="B1" s="14" t="s">
        <v>43</v>
      </c>
      <c r="C1" t="s">
        <v>240</v>
      </c>
      <c r="D1" t="s">
        <v>241</v>
      </c>
    </row>
    <row r="2" spans="1:9" x14ac:dyDescent="0.35">
      <c r="A2">
        <v>4.4000000000000004</v>
      </c>
      <c r="B2" s="10">
        <v>3.4404761904761902</v>
      </c>
      <c r="C2">
        <f t="shared" ref="C2:C15" si="0">_xlfn.RANK.AVG(A2,$A$2:$A$15, 1)</f>
        <v>7.5</v>
      </c>
      <c r="D2">
        <f>_xlfn.RANK.AVG(B2,$B$2:$B$15,1)</f>
        <v>14</v>
      </c>
    </row>
    <row r="3" spans="1:9" x14ac:dyDescent="0.35">
      <c r="A3">
        <v>4.5</v>
      </c>
      <c r="B3" s="10">
        <v>2.5079365079365079</v>
      </c>
      <c r="C3">
        <f t="shared" si="0"/>
        <v>10</v>
      </c>
      <c r="D3">
        <f t="shared" ref="D3:D14" si="1">_xlfn.RANK.AVG(B3,$B$2:$B$15,1)</f>
        <v>13</v>
      </c>
    </row>
    <row r="4" spans="1:9" x14ac:dyDescent="0.35">
      <c r="A4">
        <v>4.3</v>
      </c>
      <c r="B4" s="10">
        <v>2.4956140350877192</v>
      </c>
      <c r="C4">
        <f t="shared" si="0"/>
        <v>6</v>
      </c>
      <c r="D4">
        <f t="shared" si="1"/>
        <v>12</v>
      </c>
    </row>
    <row r="5" spans="1:9" x14ac:dyDescent="0.35">
      <c r="A5">
        <v>4.4000000000000004</v>
      </c>
      <c r="B5" s="10">
        <v>2.4603174603174605</v>
      </c>
      <c r="C5">
        <f t="shared" si="0"/>
        <v>7.5</v>
      </c>
      <c r="D5">
        <f t="shared" si="1"/>
        <v>11</v>
      </c>
    </row>
    <row r="6" spans="1:9" x14ac:dyDescent="0.35">
      <c r="A6">
        <v>4.7</v>
      </c>
      <c r="B6" s="10">
        <v>2.4035087719298249</v>
      </c>
      <c r="C6">
        <f t="shared" si="0"/>
        <v>14</v>
      </c>
      <c r="D6">
        <f t="shared" si="1"/>
        <v>10</v>
      </c>
    </row>
    <row r="7" spans="1:9" x14ac:dyDescent="0.35">
      <c r="A7">
        <v>4.2</v>
      </c>
      <c r="B7" s="10">
        <v>2.3863636363636362</v>
      </c>
      <c r="C7">
        <f t="shared" si="0"/>
        <v>5</v>
      </c>
      <c r="D7">
        <f t="shared" si="1"/>
        <v>9</v>
      </c>
      <c r="I7" t="s">
        <v>242</v>
      </c>
    </row>
    <row r="8" spans="1:9" x14ac:dyDescent="0.35">
      <c r="A8">
        <v>4.5</v>
      </c>
      <c r="B8" s="10">
        <v>2.327485380116959</v>
      </c>
      <c r="C8">
        <f t="shared" si="0"/>
        <v>10</v>
      </c>
      <c r="D8">
        <f t="shared" si="1"/>
        <v>8</v>
      </c>
    </row>
    <row r="9" spans="1:9" x14ac:dyDescent="0.35">
      <c r="A9">
        <v>4.5999999999999996</v>
      </c>
      <c r="B9" s="10">
        <v>2.3214285714285716</v>
      </c>
      <c r="C9">
        <f t="shared" si="0"/>
        <v>12.5</v>
      </c>
      <c r="D9">
        <f t="shared" si="1"/>
        <v>7</v>
      </c>
    </row>
    <row r="10" spans="1:9" x14ac:dyDescent="0.35">
      <c r="A10">
        <v>2.5</v>
      </c>
      <c r="B10" s="10">
        <v>2.2967836257309941</v>
      </c>
      <c r="C10">
        <f t="shared" si="0"/>
        <v>1</v>
      </c>
      <c r="D10">
        <f t="shared" si="1"/>
        <v>6</v>
      </c>
    </row>
    <row r="11" spans="1:9" x14ac:dyDescent="0.35">
      <c r="A11">
        <v>4.5999999999999996</v>
      </c>
      <c r="B11" s="10">
        <v>2.2896825396825395</v>
      </c>
      <c r="C11">
        <f t="shared" si="0"/>
        <v>12.5</v>
      </c>
      <c r="D11">
        <f t="shared" si="1"/>
        <v>5</v>
      </c>
    </row>
    <row r="12" spans="1:9" x14ac:dyDescent="0.35">
      <c r="A12">
        <v>4</v>
      </c>
      <c r="B12" s="10">
        <v>2.0462962962962963</v>
      </c>
      <c r="C12">
        <f t="shared" si="0"/>
        <v>3</v>
      </c>
      <c r="D12">
        <f t="shared" si="1"/>
        <v>4</v>
      </c>
    </row>
    <row r="13" spans="1:9" x14ac:dyDescent="0.35">
      <c r="A13">
        <v>4.0999999999999996</v>
      </c>
      <c r="B13" s="10">
        <v>2.0111111111111111</v>
      </c>
      <c r="C13">
        <f t="shared" si="0"/>
        <v>4</v>
      </c>
      <c r="D13">
        <f t="shared" si="1"/>
        <v>3</v>
      </c>
    </row>
    <row r="14" spans="1:9" x14ac:dyDescent="0.35">
      <c r="A14">
        <v>4.5</v>
      </c>
      <c r="B14" s="10">
        <v>2</v>
      </c>
      <c r="C14">
        <f t="shared" si="0"/>
        <v>10</v>
      </c>
      <c r="D14">
        <f t="shared" si="1"/>
        <v>2</v>
      </c>
    </row>
    <row r="15" spans="1:9" x14ac:dyDescent="0.35">
      <c r="A15">
        <v>3</v>
      </c>
      <c r="B15" s="10">
        <v>1.6507936507936509</v>
      </c>
      <c r="C15">
        <f t="shared" si="0"/>
        <v>2</v>
      </c>
      <c r="D15">
        <f>_xlfn.RANK.AVG(B15,$B$2:$B$15,1)</f>
        <v>1</v>
      </c>
      <c r="E15" t="s">
        <v>203</v>
      </c>
      <c r="F15" t="s">
        <v>198</v>
      </c>
      <c r="G15" t="s">
        <v>243</v>
      </c>
      <c r="H15" t="s">
        <v>244</v>
      </c>
    </row>
    <row r="16" spans="1:9" x14ac:dyDescent="0.35">
      <c r="E16" s="10">
        <f>CORREL(C2:C15,D2:D15)</f>
        <v>0.30531645948781744</v>
      </c>
      <c r="F16">
        <f>COUNT(B2:B15)</f>
        <v>14</v>
      </c>
      <c r="G16">
        <f>E16*SQRT((F16-2)/(1-E16^2))</f>
        <v>1.1106812207020127</v>
      </c>
      <c r="H16" s="10">
        <f>_xlfn.T.DIST.2T(ABS(G16), F16-2)</f>
        <v>0.28846528514882813</v>
      </c>
    </row>
    <row r="18" spans="1:8" ht="29" x14ac:dyDescent="0.35">
      <c r="A18" s="2" t="s">
        <v>8</v>
      </c>
      <c r="B18" s="14" t="s">
        <v>43</v>
      </c>
      <c r="C18" t="s">
        <v>245</v>
      </c>
      <c r="D18" t="s">
        <v>241</v>
      </c>
    </row>
    <row r="19" spans="1:8" x14ac:dyDescent="0.35">
      <c r="A19">
        <v>4.5</v>
      </c>
      <c r="B19" s="10">
        <v>2.5079365079365079</v>
      </c>
      <c r="C19">
        <f>_xlfn.RANK.AVG(A19,$A$19:$A$27,1)</f>
        <v>8.5</v>
      </c>
      <c r="D19">
        <f>_xlfn.RANK.AVG(B19,$B$19:$B$27,1)</f>
        <v>9</v>
      </c>
    </row>
    <row r="20" spans="1:8" x14ac:dyDescent="0.35">
      <c r="A20">
        <v>4.3</v>
      </c>
      <c r="B20" s="10">
        <v>2.4956140350877192</v>
      </c>
      <c r="C20">
        <f t="shared" ref="C20:C26" si="2">_xlfn.RANK.AVG(A20,$A$19:$A$27,1)</f>
        <v>6.5</v>
      </c>
      <c r="D20">
        <f t="shared" ref="D20:D27" si="3">_xlfn.RANK.AVG(B20,$B$19:$B$27,1)</f>
        <v>8</v>
      </c>
    </row>
    <row r="21" spans="1:8" x14ac:dyDescent="0.35">
      <c r="A21">
        <v>4.3</v>
      </c>
      <c r="B21" s="10">
        <v>2.4944444444444445</v>
      </c>
      <c r="C21">
        <f t="shared" si="2"/>
        <v>6.5</v>
      </c>
      <c r="D21">
        <f t="shared" si="3"/>
        <v>7</v>
      </c>
    </row>
    <row r="22" spans="1:8" x14ac:dyDescent="0.35">
      <c r="A22">
        <v>3.3</v>
      </c>
      <c r="B22" s="10">
        <v>2.4603174603174605</v>
      </c>
      <c r="C22">
        <f t="shared" si="2"/>
        <v>1</v>
      </c>
      <c r="D22">
        <f t="shared" si="3"/>
        <v>6</v>
      </c>
    </row>
    <row r="23" spans="1:8" x14ac:dyDescent="0.35">
      <c r="A23">
        <v>3.8</v>
      </c>
      <c r="B23" s="10">
        <v>2.3932748538011697</v>
      </c>
      <c r="C23">
        <f t="shared" si="2"/>
        <v>3</v>
      </c>
      <c r="D23">
        <f t="shared" si="3"/>
        <v>5</v>
      </c>
    </row>
    <row r="24" spans="1:8" x14ac:dyDescent="0.35">
      <c r="A24">
        <v>4.2</v>
      </c>
      <c r="B24" s="10">
        <v>2.327485380116959</v>
      </c>
      <c r="C24">
        <f t="shared" si="2"/>
        <v>5</v>
      </c>
      <c r="D24">
        <f>_xlfn.RANK.AVG(B24,$B$19:$B$27,1)</f>
        <v>4</v>
      </c>
    </row>
    <row r="25" spans="1:8" x14ac:dyDescent="0.35">
      <c r="A25">
        <v>3.4</v>
      </c>
      <c r="B25" s="10">
        <v>2.2967836257309941</v>
      </c>
      <c r="C25">
        <f t="shared" si="2"/>
        <v>2</v>
      </c>
      <c r="D25">
        <f t="shared" si="3"/>
        <v>3</v>
      </c>
    </row>
    <row r="26" spans="1:8" x14ac:dyDescent="0.35">
      <c r="A26">
        <v>4.0999999999999996</v>
      </c>
      <c r="B26" s="10">
        <v>2.2896825396825395</v>
      </c>
      <c r="C26">
        <f t="shared" si="2"/>
        <v>4</v>
      </c>
      <c r="D26">
        <f t="shared" si="3"/>
        <v>2</v>
      </c>
    </row>
    <row r="27" spans="1:8" x14ac:dyDescent="0.35">
      <c r="A27">
        <v>4.5</v>
      </c>
      <c r="B27" s="10">
        <v>2</v>
      </c>
      <c r="C27">
        <f>_xlfn.RANK.AVG(A27,$A$19:$A$27,1)</f>
        <v>8.5</v>
      </c>
      <c r="D27">
        <f t="shared" si="3"/>
        <v>1</v>
      </c>
      <c r="E27" t="s">
        <v>203</v>
      </c>
      <c r="F27" t="s">
        <v>198</v>
      </c>
      <c r="G27" t="s">
        <v>243</v>
      </c>
      <c r="H27" t="s">
        <v>244</v>
      </c>
    </row>
    <row r="28" spans="1:8" x14ac:dyDescent="0.35">
      <c r="E28" s="10">
        <f>CORREL(C19:C27,D19:D27)</f>
        <v>0.21009145170400448</v>
      </c>
      <c r="F28">
        <f>COUNT(B19:B27)</f>
        <v>9</v>
      </c>
      <c r="G28">
        <f>E28*SQRT((F28-2)/(1-E28^2))</f>
        <v>0.56853852523208115</v>
      </c>
      <c r="H28" s="10">
        <f>_xlfn.T.DIST.2T(ABS(G28), F28-2)</f>
        <v>0.58743668778870861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6</vt:i4>
      </vt:variant>
    </vt:vector>
  </HeadingPairs>
  <TitlesOfParts>
    <vt:vector size="6" baseType="lpstr">
      <vt:lpstr>Data</vt:lpstr>
      <vt:lpstr>not included apps reason</vt:lpstr>
      <vt:lpstr>graph_question_average</vt:lpstr>
      <vt:lpstr>table_for_in_text</vt:lpstr>
      <vt:lpstr>MARS questions</vt:lpstr>
      <vt:lpstr>correlation_score_and_rating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Niek van der Zee</cp:lastModifiedBy>
  <cp:revision/>
  <dcterms:created xsi:type="dcterms:W3CDTF">2026-01-21T10:42:15Z</dcterms:created>
  <dcterms:modified xsi:type="dcterms:W3CDTF">2026-05-10T18:42:25Z</dcterms:modified>
  <cp:category/>
  <cp:contentStatus/>
</cp:coreProperties>
</file>